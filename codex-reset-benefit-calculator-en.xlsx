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Holix\Desktop\调试\codex-reset-benefit-calculator\"/>
    </mc:Choice>
  </mc:AlternateContent>
  <xr:revisionPtr revIDLastSave="0" documentId="13_ncr:1_{31A7AC60-5B43-4B09-9B07-9A59B6AC63EA}" xr6:coauthVersionLast="47" xr6:coauthVersionMax="47" xr10:uidLastSave="{00000000-0000-0000-0000-000000000000}"/>
  <bookViews>
    <workbookView xWindow="-103" yWindow="257" windowWidth="22149" windowHeight="13560" activeTab="2" xr2:uid="{00000000-000D-0000-FFFF-FFFF00000000}"/>
  </bookViews>
  <sheets>
    <sheet name="Settings" sheetId="1" r:id="rId1"/>
    <sheet name="Daily Records" sheetId="2" r:id="rId2"/>
    <sheet name="Monthly Summar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" i="3" l="1"/>
  <c r="E9" i="3"/>
  <c r="B9" i="3"/>
  <c r="A9" i="3" s="1"/>
  <c r="K8" i="3"/>
  <c r="J8" i="3"/>
  <c r="I8" i="3"/>
  <c r="H8" i="3"/>
  <c r="G8" i="3"/>
  <c r="F8" i="3"/>
  <c r="E8" i="3"/>
  <c r="D8" i="3"/>
  <c r="C8" i="3"/>
  <c r="B8" i="3"/>
  <c r="A8" i="3"/>
  <c r="K7" i="3"/>
  <c r="J7" i="3"/>
  <c r="I7" i="3"/>
  <c r="H7" i="3"/>
  <c r="G7" i="3"/>
  <c r="F7" i="3"/>
  <c r="E7" i="3"/>
  <c r="B7" i="3"/>
  <c r="D7" i="3" s="1"/>
  <c r="B3" i="3"/>
  <c r="K369" i="2"/>
  <c r="F369" i="2"/>
  <c r="A369" i="2"/>
  <c r="G369" i="2" s="1"/>
  <c r="H369" i="2" s="1"/>
  <c r="I369" i="2" s="1"/>
  <c r="K368" i="2"/>
  <c r="H368" i="2"/>
  <c r="I368" i="2" s="1"/>
  <c r="G368" i="2"/>
  <c r="F368" i="2"/>
  <c r="E368" i="2"/>
  <c r="J368" i="2" s="1"/>
  <c r="C368" i="2"/>
  <c r="A368" i="2"/>
  <c r="B368" i="2" s="1"/>
  <c r="E367" i="2"/>
  <c r="J367" i="2" s="1"/>
  <c r="A367" i="2"/>
  <c r="A366" i="2"/>
  <c r="K365" i="2"/>
  <c r="G365" i="2"/>
  <c r="H365" i="2" s="1"/>
  <c r="I365" i="2" s="1"/>
  <c r="C365" i="2"/>
  <c r="A365" i="2"/>
  <c r="F365" i="2" s="1"/>
  <c r="K364" i="2"/>
  <c r="G364" i="2"/>
  <c r="H364" i="2" s="1"/>
  <c r="I364" i="2" s="1"/>
  <c r="B364" i="2"/>
  <c r="A364" i="2"/>
  <c r="F364" i="2" s="1"/>
  <c r="I363" i="2"/>
  <c r="G363" i="2"/>
  <c r="H363" i="2" s="1"/>
  <c r="E363" i="2"/>
  <c r="J363" i="2" s="1"/>
  <c r="C363" i="2"/>
  <c r="A363" i="2"/>
  <c r="E362" i="2"/>
  <c r="J362" i="2" s="1"/>
  <c r="C362" i="2"/>
  <c r="A362" i="2"/>
  <c r="K362" i="2" s="1"/>
  <c r="K361" i="2"/>
  <c r="J361" i="2"/>
  <c r="E361" i="2"/>
  <c r="B361" i="2"/>
  <c r="A361" i="2"/>
  <c r="E360" i="2"/>
  <c r="J360" i="2" s="1"/>
  <c r="A360" i="2"/>
  <c r="G359" i="2"/>
  <c r="H359" i="2" s="1"/>
  <c r="I359" i="2" s="1"/>
  <c r="F359" i="2"/>
  <c r="A359" i="2"/>
  <c r="K358" i="2"/>
  <c r="J358" i="2"/>
  <c r="H358" i="2"/>
  <c r="I358" i="2" s="1"/>
  <c r="G358" i="2"/>
  <c r="F358" i="2"/>
  <c r="B358" i="2"/>
  <c r="A358" i="2"/>
  <c r="E358" i="2" s="1"/>
  <c r="K357" i="2"/>
  <c r="G357" i="2"/>
  <c r="H357" i="2" s="1"/>
  <c r="I357" i="2" s="1"/>
  <c r="C357" i="2"/>
  <c r="A357" i="2"/>
  <c r="F357" i="2" s="1"/>
  <c r="K356" i="2"/>
  <c r="H356" i="2"/>
  <c r="I356" i="2" s="1"/>
  <c r="F356" i="2"/>
  <c r="B356" i="2"/>
  <c r="A356" i="2"/>
  <c r="G356" i="2" s="1"/>
  <c r="K355" i="2"/>
  <c r="G355" i="2"/>
  <c r="H355" i="2" s="1"/>
  <c r="I355" i="2" s="1"/>
  <c r="F355" i="2"/>
  <c r="E355" i="2"/>
  <c r="J355" i="2" s="1"/>
  <c r="C355" i="2"/>
  <c r="A355" i="2"/>
  <c r="B355" i="2" s="1"/>
  <c r="K354" i="2"/>
  <c r="J354" i="2"/>
  <c r="G354" i="2"/>
  <c r="H354" i="2" s="1"/>
  <c r="I354" i="2" s="1"/>
  <c r="F354" i="2"/>
  <c r="E354" i="2"/>
  <c r="C354" i="2"/>
  <c r="A354" i="2"/>
  <c r="B354" i="2" s="1"/>
  <c r="G353" i="2"/>
  <c r="H353" i="2" s="1"/>
  <c r="I353" i="2" s="1"/>
  <c r="E353" i="2"/>
  <c r="J353" i="2" s="1"/>
  <c r="A353" i="2"/>
  <c r="G352" i="2"/>
  <c r="H352" i="2" s="1"/>
  <c r="I352" i="2" s="1"/>
  <c r="E352" i="2"/>
  <c r="J352" i="2" s="1"/>
  <c r="A352" i="2"/>
  <c r="F351" i="2"/>
  <c r="A351" i="2"/>
  <c r="K350" i="2"/>
  <c r="E350" i="2"/>
  <c r="J350" i="2" s="1"/>
  <c r="C350" i="2"/>
  <c r="A350" i="2"/>
  <c r="C349" i="2"/>
  <c r="A349" i="2"/>
  <c r="K348" i="2"/>
  <c r="H348" i="2"/>
  <c r="I348" i="2" s="1"/>
  <c r="G348" i="2"/>
  <c r="F348" i="2"/>
  <c r="E348" i="2"/>
  <c r="J348" i="2" s="1"/>
  <c r="C348" i="2"/>
  <c r="B348" i="2"/>
  <c r="A348" i="2"/>
  <c r="A347" i="2"/>
  <c r="A346" i="2"/>
  <c r="K345" i="2"/>
  <c r="H345" i="2"/>
  <c r="I345" i="2" s="1"/>
  <c r="C345" i="2"/>
  <c r="B345" i="2"/>
  <c r="A345" i="2"/>
  <c r="G345" i="2" s="1"/>
  <c r="K344" i="2"/>
  <c r="G344" i="2"/>
  <c r="H344" i="2" s="1"/>
  <c r="I344" i="2" s="1"/>
  <c r="F344" i="2"/>
  <c r="E344" i="2"/>
  <c r="J344" i="2" s="1"/>
  <c r="A344" i="2"/>
  <c r="C344" i="2" s="1"/>
  <c r="B343" i="2"/>
  <c r="A343" i="2"/>
  <c r="A342" i="2"/>
  <c r="K341" i="2"/>
  <c r="I341" i="2"/>
  <c r="G341" i="2"/>
  <c r="H341" i="2" s="1"/>
  <c r="C341" i="2"/>
  <c r="B341" i="2"/>
  <c r="A341" i="2"/>
  <c r="F341" i="2" s="1"/>
  <c r="F340" i="2"/>
  <c r="E340" i="2"/>
  <c r="J340" i="2" s="1"/>
  <c r="C340" i="2"/>
  <c r="B340" i="2"/>
  <c r="A340" i="2"/>
  <c r="K340" i="2" s="1"/>
  <c r="G339" i="2"/>
  <c r="H339" i="2" s="1"/>
  <c r="I339" i="2" s="1"/>
  <c r="A339" i="2"/>
  <c r="A338" i="2"/>
  <c r="K337" i="2"/>
  <c r="B337" i="2"/>
  <c r="A337" i="2"/>
  <c r="E336" i="2"/>
  <c r="J336" i="2" s="1"/>
  <c r="C336" i="2"/>
  <c r="A336" i="2"/>
  <c r="K336" i="2" s="1"/>
  <c r="G335" i="2"/>
  <c r="H335" i="2" s="1"/>
  <c r="I335" i="2" s="1"/>
  <c r="F335" i="2"/>
  <c r="E335" i="2"/>
  <c r="J335" i="2" s="1"/>
  <c r="C335" i="2"/>
  <c r="A335" i="2"/>
  <c r="K335" i="2" s="1"/>
  <c r="K334" i="2"/>
  <c r="G334" i="2"/>
  <c r="H334" i="2" s="1"/>
  <c r="I334" i="2" s="1"/>
  <c r="F334" i="2"/>
  <c r="B334" i="2"/>
  <c r="A334" i="2"/>
  <c r="E334" i="2" s="1"/>
  <c r="J334" i="2" s="1"/>
  <c r="I333" i="2"/>
  <c r="G333" i="2"/>
  <c r="H333" i="2" s="1"/>
  <c r="E333" i="2"/>
  <c r="J333" i="2" s="1"/>
  <c r="C333" i="2"/>
  <c r="A333" i="2"/>
  <c r="C332" i="2"/>
  <c r="B332" i="2"/>
  <c r="A332" i="2"/>
  <c r="G332" i="2" s="1"/>
  <c r="H332" i="2" s="1"/>
  <c r="I332" i="2" s="1"/>
  <c r="K331" i="2"/>
  <c r="H331" i="2"/>
  <c r="I331" i="2" s="1"/>
  <c r="G331" i="2"/>
  <c r="F331" i="2"/>
  <c r="E331" i="2"/>
  <c r="J331" i="2" s="1"/>
  <c r="C331" i="2"/>
  <c r="B331" i="2"/>
  <c r="A331" i="2"/>
  <c r="G330" i="2"/>
  <c r="H330" i="2" s="1"/>
  <c r="I330" i="2" s="1"/>
  <c r="A330" i="2"/>
  <c r="K329" i="2"/>
  <c r="A329" i="2"/>
  <c r="B328" i="2"/>
  <c r="A328" i="2"/>
  <c r="A327" i="2"/>
  <c r="K326" i="2"/>
  <c r="F326" i="2"/>
  <c r="C326" i="2"/>
  <c r="B326" i="2"/>
  <c r="A326" i="2"/>
  <c r="E326" i="2" s="1"/>
  <c r="J326" i="2" s="1"/>
  <c r="G325" i="2"/>
  <c r="H325" i="2" s="1"/>
  <c r="I325" i="2" s="1"/>
  <c r="C325" i="2"/>
  <c r="A325" i="2"/>
  <c r="K324" i="2"/>
  <c r="G324" i="2"/>
  <c r="H324" i="2" s="1"/>
  <c r="I324" i="2" s="1"/>
  <c r="C324" i="2"/>
  <c r="A324" i="2"/>
  <c r="F324" i="2" s="1"/>
  <c r="K323" i="2"/>
  <c r="A323" i="2"/>
  <c r="K322" i="2"/>
  <c r="J322" i="2"/>
  <c r="F322" i="2"/>
  <c r="E322" i="2"/>
  <c r="A322" i="2"/>
  <c r="G322" i="2" s="1"/>
  <c r="H322" i="2" s="1"/>
  <c r="I322" i="2" s="1"/>
  <c r="K321" i="2"/>
  <c r="J321" i="2"/>
  <c r="G321" i="2"/>
  <c r="H321" i="2" s="1"/>
  <c r="I321" i="2" s="1"/>
  <c r="F321" i="2"/>
  <c r="E321" i="2"/>
  <c r="C321" i="2"/>
  <c r="B321" i="2"/>
  <c r="A321" i="2"/>
  <c r="A320" i="2"/>
  <c r="G319" i="2"/>
  <c r="H319" i="2" s="1"/>
  <c r="I319" i="2" s="1"/>
  <c r="F319" i="2"/>
  <c r="C319" i="2"/>
  <c r="B319" i="2"/>
  <c r="A319" i="2"/>
  <c r="K318" i="2"/>
  <c r="H318" i="2"/>
  <c r="I318" i="2" s="1"/>
  <c r="G318" i="2"/>
  <c r="B318" i="2"/>
  <c r="A318" i="2"/>
  <c r="A317" i="2"/>
  <c r="K316" i="2"/>
  <c r="H316" i="2"/>
  <c r="I316" i="2" s="1"/>
  <c r="G316" i="2"/>
  <c r="F316" i="2"/>
  <c r="E316" i="2"/>
  <c r="J316" i="2" s="1"/>
  <c r="C316" i="2"/>
  <c r="B316" i="2"/>
  <c r="A316" i="2"/>
  <c r="K315" i="2"/>
  <c r="H315" i="2"/>
  <c r="I315" i="2" s="1"/>
  <c r="G315" i="2"/>
  <c r="F315" i="2"/>
  <c r="E315" i="2"/>
  <c r="J315" i="2" s="1"/>
  <c r="C315" i="2"/>
  <c r="B315" i="2"/>
  <c r="A315" i="2"/>
  <c r="A314" i="2"/>
  <c r="F313" i="2"/>
  <c r="E313" i="2"/>
  <c r="J313" i="2" s="1"/>
  <c r="C313" i="2"/>
  <c r="B313" i="2"/>
  <c r="A313" i="2"/>
  <c r="A312" i="2"/>
  <c r="K311" i="2"/>
  <c r="G311" i="2"/>
  <c r="H311" i="2" s="1"/>
  <c r="I311" i="2" s="1"/>
  <c r="F311" i="2"/>
  <c r="E311" i="2"/>
  <c r="J311" i="2" s="1"/>
  <c r="A311" i="2"/>
  <c r="C311" i="2" s="1"/>
  <c r="F310" i="2"/>
  <c r="B310" i="2"/>
  <c r="A310" i="2"/>
  <c r="G309" i="2"/>
  <c r="H309" i="2" s="1"/>
  <c r="I309" i="2" s="1"/>
  <c r="C309" i="2"/>
  <c r="B309" i="2"/>
  <c r="A309" i="2"/>
  <c r="A308" i="2"/>
  <c r="F307" i="2"/>
  <c r="C307" i="2"/>
  <c r="A307" i="2"/>
  <c r="G306" i="2"/>
  <c r="H306" i="2" s="1"/>
  <c r="I306" i="2" s="1"/>
  <c r="C306" i="2"/>
  <c r="A306" i="2"/>
  <c r="A305" i="2"/>
  <c r="K304" i="2"/>
  <c r="A304" i="2"/>
  <c r="A303" i="2"/>
  <c r="K302" i="2"/>
  <c r="G302" i="2"/>
  <c r="H302" i="2" s="1"/>
  <c r="I302" i="2" s="1"/>
  <c r="F302" i="2"/>
  <c r="B302" i="2"/>
  <c r="A302" i="2"/>
  <c r="K301" i="2"/>
  <c r="H301" i="2"/>
  <c r="I301" i="2" s="1"/>
  <c r="G301" i="2"/>
  <c r="F301" i="2"/>
  <c r="B301" i="2"/>
  <c r="A301" i="2"/>
  <c r="E301" i="2" s="1"/>
  <c r="J301" i="2" s="1"/>
  <c r="G300" i="2"/>
  <c r="H300" i="2" s="1"/>
  <c r="I300" i="2" s="1"/>
  <c r="C300" i="2"/>
  <c r="A300" i="2"/>
  <c r="A299" i="2"/>
  <c r="K298" i="2"/>
  <c r="I298" i="2"/>
  <c r="H298" i="2"/>
  <c r="G298" i="2"/>
  <c r="F298" i="2"/>
  <c r="E298" i="2"/>
  <c r="J298" i="2" s="1"/>
  <c r="C298" i="2"/>
  <c r="B298" i="2"/>
  <c r="A298" i="2"/>
  <c r="F297" i="2"/>
  <c r="E297" i="2"/>
  <c r="J297" i="2" s="1"/>
  <c r="C297" i="2"/>
  <c r="B297" i="2"/>
  <c r="A297" i="2"/>
  <c r="G297" i="2" s="1"/>
  <c r="H297" i="2" s="1"/>
  <c r="I297" i="2" s="1"/>
  <c r="K296" i="2"/>
  <c r="A296" i="2"/>
  <c r="C296" i="2" s="1"/>
  <c r="G295" i="2"/>
  <c r="H295" i="2" s="1"/>
  <c r="I295" i="2" s="1"/>
  <c r="F295" i="2"/>
  <c r="E295" i="2"/>
  <c r="J295" i="2" s="1"/>
  <c r="A295" i="2"/>
  <c r="K295" i="2" s="1"/>
  <c r="K294" i="2"/>
  <c r="A294" i="2"/>
  <c r="B293" i="2"/>
  <c r="A293" i="2"/>
  <c r="A292" i="2"/>
  <c r="K292" i="2" s="1"/>
  <c r="K291" i="2"/>
  <c r="G291" i="2"/>
  <c r="H291" i="2" s="1"/>
  <c r="I291" i="2" s="1"/>
  <c r="C291" i="2"/>
  <c r="A291" i="2"/>
  <c r="B291" i="2" s="1"/>
  <c r="C290" i="2"/>
  <c r="A290" i="2"/>
  <c r="A289" i="2"/>
  <c r="K288" i="2"/>
  <c r="G288" i="2"/>
  <c r="H288" i="2" s="1"/>
  <c r="I288" i="2" s="1"/>
  <c r="F288" i="2"/>
  <c r="E288" i="2"/>
  <c r="J288" i="2" s="1"/>
  <c r="C288" i="2"/>
  <c r="B288" i="2"/>
  <c r="A288" i="2"/>
  <c r="E287" i="2"/>
  <c r="J287" i="2" s="1"/>
  <c r="B287" i="2"/>
  <c r="A287" i="2"/>
  <c r="K286" i="2"/>
  <c r="J286" i="2"/>
  <c r="G286" i="2"/>
  <c r="H286" i="2" s="1"/>
  <c r="I286" i="2" s="1"/>
  <c r="F286" i="2"/>
  <c r="C286" i="2"/>
  <c r="A286" i="2"/>
  <c r="E286" i="2" s="1"/>
  <c r="K285" i="2"/>
  <c r="J285" i="2"/>
  <c r="G285" i="2"/>
  <c r="H285" i="2" s="1"/>
  <c r="I285" i="2" s="1"/>
  <c r="F285" i="2"/>
  <c r="E285" i="2"/>
  <c r="C285" i="2"/>
  <c r="A285" i="2"/>
  <c r="B285" i="2" s="1"/>
  <c r="A284" i="2"/>
  <c r="K283" i="2"/>
  <c r="H283" i="2"/>
  <c r="I283" i="2" s="1"/>
  <c r="G283" i="2"/>
  <c r="F283" i="2"/>
  <c r="E283" i="2"/>
  <c r="J283" i="2" s="1"/>
  <c r="C283" i="2"/>
  <c r="B283" i="2"/>
  <c r="A283" i="2"/>
  <c r="K282" i="2"/>
  <c r="H282" i="2"/>
  <c r="I282" i="2" s="1"/>
  <c r="G282" i="2"/>
  <c r="F282" i="2"/>
  <c r="C282" i="2"/>
  <c r="B282" i="2"/>
  <c r="A282" i="2"/>
  <c r="E282" i="2" s="1"/>
  <c r="J282" i="2" s="1"/>
  <c r="K281" i="2"/>
  <c r="H281" i="2"/>
  <c r="I281" i="2" s="1"/>
  <c r="C281" i="2"/>
  <c r="A281" i="2"/>
  <c r="G281" i="2" s="1"/>
  <c r="G280" i="2"/>
  <c r="H280" i="2" s="1"/>
  <c r="I280" i="2" s="1"/>
  <c r="F280" i="2"/>
  <c r="E280" i="2"/>
  <c r="J280" i="2" s="1"/>
  <c r="C280" i="2"/>
  <c r="B280" i="2"/>
  <c r="A280" i="2"/>
  <c r="K280" i="2" s="1"/>
  <c r="G279" i="2"/>
  <c r="H279" i="2" s="1"/>
  <c r="I279" i="2" s="1"/>
  <c r="F279" i="2"/>
  <c r="E279" i="2"/>
  <c r="J279" i="2" s="1"/>
  <c r="A279" i="2"/>
  <c r="K278" i="2"/>
  <c r="J278" i="2"/>
  <c r="G278" i="2"/>
  <c r="H278" i="2" s="1"/>
  <c r="I278" i="2" s="1"/>
  <c r="F278" i="2"/>
  <c r="C278" i="2"/>
  <c r="B278" i="2"/>
  <c r="A278" i="2"/>
  <c r="E278" i="2" s="1"/>
  <c r="I277" i="2"/>
  <c r="H277" i="2"/>
  <c r="G277" i="2"/>
  <c r="A277" i="2"/>
  <c r="A276" i="2"/>
  <c r="A275" i="2"/>
  <c r="K274" i="2"/>
  <c r="F274" i="2"/>
  <c r="E274" i="2"/>
  <c r="J274" i="2" s="1"/>
  <c r="A274" i="2"/>
  <c r="B273" i="2"/>
  <c r="A273" i="2"/>
  <c r="K272" i="2"/>
  <c r="J272" i="2"/>
  <c r="G272" i="2"/>
  <c r="H272" i="2" s="1"/>
  <c r="I272" i="2" s="1"/>
  <c r="F272" i="2"/>
  <c r="E272" i="2"/>
  <c r="C272" i="2"/>
  <c r="B272" i="2"/>
  <c r="A272" i="2"/>
  <c r="B271" i="2"/>
  <c r="A271" i="2"/>
  <c r="K270" i="2"/>
  <c r="G270" i="2"/>
  <c r="H270" i="2" s="1"/>
  <c r="I270" i="2" s="1"/>
  <c r="F270" i="2"/>
  <c r="E270" i="2"/>
  <c r="J270" i="2" s="1"/>
  <c r="C270" i="2"/>
  <c r="B270" i="2"/>
  <c r="A270" i="2"/>
  <c r="G269" i="2"/>
  <c r="H269" i="2" s="1"/>
  <c r="I269" i="2" s="1"/>
  <c r="F269" i="2"/>
  <c r="E269" i="2"/>
  <c r="J269" i="2" s="1"/>
  <c r="C269" i="2"/>
  <c r="B269" i="2"/>
  <c r="A269" i="2"/>
  <c r="K269" i="2" s="1"/>
  <c r="K268" i="2"/>
  <c r="J268" i="2"/>
  <c r="G268" i="2"/>
  <c r="H268" i="2" s="1"/>
  <c r="I268" i="2" s="1"/>
  <c r="F268" i="2"/>
  <c r="E268" i="2"/>
  <c r="A268" i="2"/>
  <c r="C268" i="2" s="1"/>
  <c r="G267" i="2"/>
  <c r="H267" i="2" s="1"/>
  <c r="I267" i="2" s="1"/>
  <c r="E267" i="2"/>
  <c r="J267" i="2" s="1"/>
  <c r="A267" i="2"/>
  <c r="K266" i="2"/>
  <c r="A266" i="2"/>
  <c r="A265" i="2"/>
  <c r="A264" i="2"/>
  <c r="E264" i="2" s="1"/>
  <c r="J264" i="2" s="1"/>
  <c r="K263" i="2"/>
  <c r="A263" i="2"/>
  <c r="A262" i="2"/>
  <c r="B261" i="2"/>
  <c r="A261" i="2"/>
  <c r="K260" i="2"/>
  <c r="J260" i="2"/>
  <c r="H260" i="2"/>
  <c r="I260" i="2" s="1"/>
  <c r="E260" i="2"/>
  <c r="C260" i="2"/>
  <c r="B260" i="2"/>
  <c r="A260" i="2"/>
  <c r="G260" i="2" s="1"/>
  <c r="A259" i="2"/>
  <c r="K258" i="2"/>
  <c r="G258" i="2"/>
  <c r="H258" i="2" s="1"/>
  <c r="I258" i="2" s="1"/>
  <c r="F258" i="2"/>
  <c r="B258" i="2"/>
  <c r="A258" i="2"/>
  <c r="E258" i="2" s="1"/>
  <c r="J258" i="2" s="1"/>
  <c r="K257" i="2"/>
  <c r="J257" i="2"/>
  <c r="H257" i="2"/>
  <c r="I257" i="2" s="1"/>
  <c r="G257" i="2"/>
  <c r="F257" i="2"/>
  <c r="E257" i="2"/>
  <c r="C257" i="2"/>
  <c r="B257" i="2"/>
  <c r="A257" i="2"/>
  <c r="F256" i="2"/>
  <c r="C256" i="2"/>
  <c r="B256" i="2"/>
  <c r="A256" i="2"/>
  <c r="J255" i="2"/>
  <c r="H255" i="2"/>
  <c r="I255" i="2" s="1"/>
  <c r="G255" i="2"/>
  <c r="F255" i="2"/>
  <c r="E255" i="2"/>
  <c r="C255" i="2"/>
  <c r="B255" i="2"/>
  <c r="A255" i="2"/>
  <c r="K255" i="2" s="1"/>
  <c r="A254" i="2"/>
  <c r="K254" i="2" s="1"/>
  <c r="K253" i="2"/>
  <c r="B253" i="2"/>
  <c r="A253" i="2"/>
  <c r="A252" i="2"/>
  <c r="F252" i="2" s="1"/>
  <c r="K251" i="2"/>
  <c r="A251" i="2"/>
  <c r="A250" i="2"/>
  <c r="B250" i="2" s="1"/>
  <c r="A249" i="2"/>
  <c r="F249" i="2" s="1"/>
  <c r="G248" i="2"/>
  <c r="H248" i="2" s="1"/>
  <c r="I248" i="2" s="1"/>
  <c r="A248" i="2"/>
  <c r="K247" i="2"/>
  <c r="E247" i="2"/>
  <c r="J247" i="2" s="1"/>
  <c r="C247" i="2"/>
  <c r="A247" i="2"/>
  <c r="J246" i="2"/>
  <c r="H246" i="2"/>
  <c r="I246" i="2" s="1"/>
  <c r="G246" i="2"/>
  <c r="F246" i="2"/>
  <c r="C246" i="2"/>
  <c r="B246" i="2"/>
  <c r="A246" i="2"/>
  <c r="E246" i="2" s="1"/>
  <c r="K245" i="2"/>
  <c r="I245" i="2"/>
  <c r="H245" i="2"/>
  <c r="G245" i="2"/>
  <c r="F245" i="2"/>
  <c r="E245" i="2"/>
  <c r="J245" i="2" s="1"/>
  <c r="C245" i="2"/>
  <c r="B245" i="2"/>
  <c r="A245" i="2"/>
  <c r="I244" i="2"/>
  <c r="H244" i="2"/>
  <c r="G244" i="2"/>
  <c r="F244" i="2"/>
  <c r="E244" i="2"/>
  <c r="J244" i="2" s="1"/>
  <c r="B244" i="2"/>
  <c r="A244" i="2"/>
  <c r="K244" i="2" s="1"/>
  <c r="A243" i="2"/>
  <c r="A242" i="2"/>
  <c r="F241" i="2"/>
  <c r="E241" i="2"/>
  <c r="J241" i="2" s="1"/>
  <c r="C241" i="2"/>
  <c r="B241" i="2"/>
  <c r="A241" i="2"/>
  <c r="A240" i="2"/>
  <c r="C239" i="2"/>
  <c r="A239" i="2"/>
  <c r="A238" i="2"/>
  <c r="K237" i="2"/>
  <c r="G237" i="2"/>
  <c r="H237" i="2" s="1"/>
  <c r="I237" i="2" s="1"/>
  <c r="C237" i="2"/>
  <c r="A237" i="2"/>
  <c r="F237" i="2" s="1"/>
  <c r="K236" i="2"/>
  <c r="A236" i="2"/>
  <c r="K235" i="2"/>
  <c r="J235" i="2"/>
  <c r="G235" i="2"/>
  <c r="H235" i="2" s="1"/>
  <c r="I235" i="2" s="1"/>
  <c r="F235" i="2"/>
  <c r="E235" i="2"/>
  <c r="A235" i="2"/>
  <c r="C235" i="2" s="1"/>
  <c r="E234" i="2"/>
  <c r="J234" i="2" s="1"/>
  <c r="B234" i="2"/>
  <c r="A234" i="2"/>
  <c r="K233" i="2"/>
  <c r="I233" i="2"/>
  <c r="H233" i="2"/>
  <c r="F233" i="2"/>
  <c r="E233" i="2"/>
  <c r="J233" i="2" s="1"/>
  <c r="C233" i="2"/>
  <c r="A233" i="2"/>
  <c r="G233" i="2" s="1"/>
  <c r="H232" i="2"/>
  <c r="I232" i="2" s="1"/>
  <c r="G232" i="2"/>
  <c r="F232" i="2"/>
  <c r="C232" i="2"/>
  <c r="B232" i="2"/>
  <c r="A232" i="2"/>
  <c r="K232" i="2" s="1"/>
  <c r="G231" i="2"/>
  <c r="H231" i="2" s="1"/>
  <c r="I231" i="2" s="1"/>
  <c r="F231" i="2"/>
  <c r="E231" i="2"/>
  <c r="J231" i="2" s="1"/>
  <c r="C231" i="2"/>
  <c r="A231" i="2"/>
  <c r="K231" i="2" s="1"/>
  <c r="A230" i="2"/>
  <c r="K229" i="2"/>
  <c r="B229" i="2"/>
  <c r="A229" i="2"/>
  <c r="C228" i="2"/>
  <c r="B228" i="2"/>
  <c r="A228" i="2"/>
  <c r="E227" i="2"/>
  <c r="J227" i="2" s="1"/>
  <c r="C227" i="2"/>
  <c r="A227" i="2"/>
  <c r="G226" i="2"/>
  <c r="H226" i="2" s="1"/>
  <c r="I226" i="2" s="1"/>
  <c r="F226" i="2"/>
  <c r="A226" i="2"/>
  <c r="K226" i="2" s="1"/>
  <c r="K225" i="2"/>
  <c r="G225" i="2"/>
  <c r="H225" i="2" s="1"/>
  <c r="I225" i="2" s="1"/>
  <c r="F225" i="2"/>
  <c r="B225" i="2"/>
  <c r="A225" i="2"/>
  <c r="E225" i="2" s="1"/>
  <c r="J225" i="2" s="1"/>
  <c r="K224" i="2"/>
  <c r="G224" i="2"/>
  <c r="H224" i="2" s="1"/>
  <c r="I224" i="2" s="1"/>
  <c r="F224" i="2"/>
  <c r="E224" i="2"/>
  <c r="J224" i="2" s="1"/>
  <c r="C224" i="2"/>
  <c r="B224" i="2"/>
  <c r="A224" i="2"/>
  <c r="G223" i="2"/>
  <c r="H223" i="2" s="1"/>
  <c r="I223" i="2" s="1"/>
  <c r="E223" i="2"/>
  <c r="J223" i="2" s="1"/>
  <c r="A223" i="2"/>
  <c r="K222" i="2"/>
  <c r="J222" i="2"/>
  <c r="G222" i="2"/>
  <c r="H222" i="2" s="1"/>
  <c r="I222" i="2" s="1"/>
  <c r="F222" i="2"/>
  <c r="E222" i="2"/>
  <c r="C222" i="2"/>
  <c r="B222" i="2"/>
  <c r="A222" i="2"/>
  <c r="G221" i="2"/>
  <c r="H221" i="2" s="1"/>
  <c r="I221" i="2" s="1"/>
  <c r="F221" i="2"/>
  <c r="A221" i="2"/>
  <c r="K220" i="2"/>
  <c r="H220" i="2"/>
  <c r="I220" i="2" s="1"/>
  <c r="G220" i="2"/>
  <c r="C220" i="2"/>
  <c r="B220" i="2"/>
  <c r="A220" i="2"/>
  <c r="G219" i="2"/>
  <c r="H219" i="2" s="1"/>
  <c r="I219" i="2" s="1"/>
  <c r="E219" i="2"/>
  <c r="J219" i="2" s="1"/>
  <c r="C219" i="2"/>
  <c r="A219" i="2"/>
  <c r="K219" i="2" s="1"/>
  <c r="G218" i="2"/>
  <c r="H218" i="2" s="1"/>
  <c r="I218" i="2" s="1"/>
  <c r="E218" i="2"/>
  <c r="J218" i="2" s="1"/>
  <c r="C218" i="2"/>
  <c r="B218" i="2"/>
  <c r="A218" i="2"/>
  <c r="E217" i="2"/>
  <c r="J217" i="2" s="1"/>
  <c r="C217" i="2"/>
  <c r="A217" i="2"/>
  <c r="A216" i="2"/>
  <c r="K215" i="2"/>
  <c r="H215" i="2"/>
  <c r="I215" i="2" s="1"/>
  <c r="G215" i="2"/>
  <c r="C215" i="2"/>
  <c r="A215" i="2"/>
  <c r="A214" i="2"/>
  <c r="A213" i="2"/>
  <c r="K212" i="2"/>
  <c r="J212" i="2"/>
  <c r="G212" i="2"/>
  <c r="H212" i="2" s="1"/>
  <c r="I212" i="2" s="1"/>
  <c r="F212" i="2"/>
  <c r="E212" i="2"/>
  <c r="C212" i="2"/>
  <c r="B212" i="2"/>
  <c r="A212" i="2"/>
  <c r="E211" i="2"/>
  <c r="J211" i="2" s="1"/>
  <c r="C211" i="2"/>
  <c r="A211" i="2"/>
  <c r="K210" i="2"/>
  <c r="H210" i="2"/>
  <c r="I210" i="2" s="1"/>
  <c r="G210" i="2"/>
  <c r="F210" i="2"/>
  <c r="E210" i="2"/>
  <c r="J210" i="2" s="1"/>
  <c r="C210" i="2"/>
  <c r="B210" i="2"/>
  <c r="A210" i="2"/>
  <c r="A209" i="2"/>
  <c r="K208" i="2"/>
  <c r="H208" i="2"/>
  <c r="I208" i="2" s="1"/>
  <c r="F208" i="2"/>
  <c r="E208" i="2"/>
  <c r="J208" i="2" s="1"/>
  <c r="C208" i="2"/>
  <c r="B208" i="2"/>
  <c r="A208" i="2"/>
  <c r="G208" i="2" s="1"/>
  <c r="G207" i="2"/>
  <c r="H207" i="2" s="1"/>
  <c r="I207" i="2" s="1"/>
  <c r="F207" i="2"/>
  <c r="E207" i="2"/>
  <c r="J207" i="2" s="1"/>
  <c r="C207" i="2"/>
  <c r="A207" i="2"/>
  <c r="K207" i="2" s="1"/>
  <c r="A206" i="2"/>
  <c r="K205" i="2"/>
  <c r="A205" i="2"/>
  <c r="G204" i="2"/>
  <c r="H204" i="2" s="1"/>
  <c r="I204" i="2" s="1"/>
  <c r="F204" i="2"/>
  <c r="A204" i="2"/>
  <c r="A203" i="2"/>
  <c r="K202" i="2"/>
  <c r="J202" i="2"/>
  <c r="F202" i="2"/>
  <c r="E202" i="2"/>
  <c r="A202" i="2"/>
  <c r="F201" i="2"/>
  <c r="A201" i="2"/>
  <c r="G200" i="2"/>
  <c r="H200" i="2" s="1"/>
  <c r="I200" i="2" s="1"/>
  <c r="F200" i="2"/>
  <c r="E200" i="2"/>
  <c r="J200" i="2" s="1"/>
  <c r="A200" i="2"/>
  <c r="K199" i="2"/>
  <c r="J199" i="2"/>
  <c r="H199" i="2"/>
  <c r="I199" i="2" s="1"/>
  <c r="G199" i="2"/>
  <c r="F199" i="2"/>
  <c r="E199" i="2"/>
  <c r="C199" i="2"/>
  <c r="B199" i="2"/>
  <c r="A199" i="2"/>
  <c r="G198" i="2"/>
  <c r="H198" i="2" s="1"/>
  <c r="I198" i="2" s="1"/>
  <c r="F198" i="2"/>
  <c r="A198" i="2"/>
  <c r="K197" i="2"/>
  <c r="J197" i="2"/>
  <c r="G197" i="2"/>
  <c r="H197" i="2" s="1"/>
  <c r="I197" i="2" s="1"/>
  <c r="F197" i="2"/>
  <c r="E197" i="2"/>
  <c r="C197" i="2"/>
  <c r="A197" i="2"/>
  <c r="B197" i="2" s="1"/>
  <c r="G196" i="2"/>
  <c r="H196" i="2" s="1"/>
  <c r="I196" i="2" s="1"/>
  <c r="A196" i="2"/>
  <c r="K195" i="2"/>
  <c r="F195" i="2"/>
  <c r="C195" i="2"/>
  <c r="A195" i="2"/>
  <c r="G194" i="2"/>
  <c r="H194" i="2" s="1"/>
  <c r="I194" i="2" s="1"/>
  <c r="F194" i="2"/>
  <c r="E194" i="2"/>
  <c r="J194" i="2" s="1"/>
  <c r="C194" i="2"/>
  <c r="A194" i="2"/>
  <c r="K194" i="2" s="1"/>
  <c r="K193" i="2"/>
  <c r="A193" i="2"/>
  <c r="K192" i="2"/>
  <c r="G192" i="2"/>
  <c r="H192" i="2" s="1"/>
  <c r="I192" i="2" s="1"/>
  <c r="F192" i="2"/>
  <c r="B192" i="2"/>
  <c r="A192" i="2"/>
  <c r="E192" i="2" s="1"/>
  <c r="J192" i="2" s="1"/>
  <c r="A191" i="2"/>
  <c r="K190" i="2"/>
  <c r="J190" i="2"/>
  <c r="I190" i="2"/>
  <c r="H190" i="2"/>
  <c r="G190" i="2"/>
  <c r="F190" i="2"/>
  <c r="E190" i="2"/>
  <c r="C190" i="2"/>
  <c r="B190" i="2"/>
  <c r="A190" i="2"/>
  <c r="K189" i="2"/>
  <c r="J189" i="2"/>
  <c r="G189" i="2"/>
  <c r="H189" i="2" s="1"/>
  <c r="I189" i="2" s="1"/>
  <c r="F189" i="2"/>
  <c r="E189" i="2"/>
  <c r="C189" i="2"/>
  <c r="B189" i="2"/>
  <c r="A189" i="2"/>
  <c r="J188" i="2"/>
  <c r="G188" i="2"/>
  <c r="H188" i="2" s="1"/>
  <c r="I188" i="2" s="1"/>
  <c r="F188" i="2"/>
  <c r="E188" i="2"/>
  <c r="C188" i="2"/>
  <c r="B188" i="2"/>
  <c r="A188" i="2"/>
  <c r="K188" i="2" s="1"/>
  <c r="G187" i="2"/>
  <c r="H187" i="2" s="1"/>
  <c r="I187" i="2" s="1"/>
  <c r="F187" i="2"/>
  <c r="E187" i="2"/>
  <c r="J187" i="2" s="1"/>
  <c r="C187" i="2"/>
  <c r="A187" i="2"/>
  <c r="A186" i="2"/>
  <c r="A185" i="2"/>
  <c r="C184" i="2"/>
  <c r="B184" i="2"/>
  <c r="A184" i="2"/>
  <c r="K183" i="2"/>
  <c r="H183" i="2"/>
  <c r="I183" i="2" s="1"/>
  <c r="F183" i="2"/>
  <c r="E183" i="2"/>
  <c r="J183" i="2" s="1"/>
  <c r="C183" i="2"/>
  <c r="B183" i="2"/>
  <c r="A183" i="2"/>
  <c r="G183" i="2" s="1"/>
  <c r="K182" i="2"/>
  <c r="J182" i="2"/>
  <c r="I182" i="2"/>
  <c r="G182" i="2"/>
  <c r="H182" i="2" s="1"/>
  <c r="B182" i="2"/>
  <c r="A182" i="2"/>
  <c r="E182" i="2" s="1"/>
  <c r="A181" i="2"/>
  <c r="A180" i="2"/>
  <c r="K179" i="2"/>
  <c r="J179" i="2"/>
  <c r="I179" i="2"/>
  <c r="H179" i="2"/>
  <c r="G179" i="2"/>
  <c r="F179" i="2"/>
  <c r="E179" i="2"/>
  <c r="C179" i="2"/>
  <c r="A179" i="2"/>
  <c r="B179" i="2" s="1"/>
  <c r="J178" i="2"/>
  <c r="G178" i="2"/>
  <c r="H178" i="2" s="1"/>
  <c r="I178" i="2" s="1"/>
  <c r="F178" i="2"/>
  <c r="E178" i="2"/>
  <c r="C178" i="2"/>
  <c r="B178" i="2"/>
  <c r="A178" i="2"/>
  <c r="K178" i="2" s="1"/>
  <c r="G177" i="2"/>
  <c r="H177" i="2" s="1"/>
  <c r="I177" i="2" s="1"/>
  <c r="C177" i="2"/>
  <c r="B177" i="2"/>
  <c r="A177" i="2"/>
  <c r="F176" i="2"/>
  <c r="A176" i="2"/>
  <c r="A175" i="2"/>
  <c r="K174" i="2"/>
  <c r="G174" i="2"/>
  <c r="H174" i="2" s="1"/>
  <c r="I174" i="2" s="1"/>
  <c r="F174" i="2"/>
  <c r="E174" i="2"/>
  <c r="J174" i="2" s="1"/>
  <c r="C174" i="2"/>
  <c r="B174" i="2"/>
  <c r="A174" i="2"/>
  <c r="E173" i="2"/>
  <c r="J173" i="2" s="1"/>
  <c r="C173" i="2"/>
  <c r="B173" i="2"/>
  <c r="A173" i="2"/>
  <c r="K172" i="2"/>
  <c r="A172" i="2"/>
  <c r="A171" i="2"/>
  <c r="G171" i="2" s="1"/>
  <c r="H171" i="2" s="1"/>
  <c r="I171" i="2" s="1"/>
  <c r="K170" i="2"/>
  <c r="A170" i="2"/>
  <c r="K169" i="2"/>
  <c r="H169" i="2"/>
  <c r="I169" i="2" s="1"/>
  <c r="F169" i="2"/>
  <c r="E169" i="2"/>
  <c r="J169" i="2" s="1"/>
  <c r="C169" i="2"/>
  <c r="B169" i="2"/>
  <c r="A169" i="2"/>
  <c r="G169" i="2" s="1"/>
  <c r="K168" i="2"/>
  <c r="I168" i="2"/>
  <c r="H168" i="2"/>
  <c r="F168" i="2"/>
  <c r="E168" i="2"/>
  <c r="J168" i="2" s="1"/>
  <c r="C168" i="2"/>
  <c r="A168" i="2"/>
  <c r="G168" i="2" s="1"/>
  <c r="A167" i="2"/>
  <c r="C167" i="2" s="1"/>
  <c r="K166" i="2"/>
  <c r="G166" i="2"/>
  <c r="H166" i="2" s="1"/>
  <c r="I166" i="2" s="1"/>
  <c r="F166" i="2"/>
  <c r="C166" i="2"/>
  <c r="B166" i="2"/>
  <c r="A166" i="2"/>
  <c r="E166" i="2" s="1"/>
  <c r="J166" i="2" s="1"/>
  <c r="A165" i="2"/>
  <c r="A164" i="2"/>
  <c r="F164" i="2" s="1"/>
  <c r="K163" i="2"/>
  <c r="G163" i="2"/>
  <c r="H163" i="2" s="1"/>
  <c r="I163" i="2" s="1"/>
  <c r="F163" i="2"/>
  <c r="E163" i="2"/>
  <c r="J163" i="2" s="1"/>
  <c r="A163" i="2"/>
  <c r="B163" i="2" s="1"/>
  <c r="K162" i="2"/>
  <c r="E162" i="2"/>
  <c r="J162" i="2" s="1"/>
  <c r="B162" i="2"/>
  <c r="A162" i="2"/>
  <c r="F161" i="2"/>
  <c r="C161" i="2"/>
  <c r="A161" i="2"/>
  <c r="A160" i="2"/>
  <c r="J159" i="2"/>
  <c r="E159" i="2"/>
  <c r="A159" i="2"/>
  <c r="G158" i="2"/>
  <c r="H158" i="2" s="1"/>
  <c r="I158" i="2" s="1"/>
  <c r="F158" i="2"/>
  <c r="E158" i="2"/>
  <c r="J158" i="2" s="1"/>
  <c r="C158" i="2"/>
  <c r="B158" i="2"/>
  <c r="A158" i="2"/>
  <c r="K158" i="2" s="1"/>
  <c r="A157" i="2"/>
  <c r="F157" i="2" s="1"/>
  <c r="E156" i="2"/>
  <c r="J156" i="2" s="1"/>
  <c r="C156" i="2"/>
  <c r="B156" i="2"/>
  <c r="A156" i="2"/>
  <c r="K156" i="2" s="1"/>
  <c r="F155" i="2"/>
  <c r="E155" i="2"/>
  <c r="J155" i="2" s="1"/>
  <c r="C155" i="2"/>
  <c r="B155" i="2"/>
  <c r="A155" i="2"/>
  <c r="K154" i="2"/>
  <c r="J154" i="2"/>
  <c r="G154" i="2"/>
  <c r="H154" i="2" s="1"/>
  <c r="I154" i="2" s="1"/>
  <c r="F154" i="2"/>
  <c r="E154" i="2"/>
  <c r="C154" i="2"/>
  <c r="A154" i="2"/>
  <c r="B154" i="2" s="1"/>
  <c r="F153" i="2"/>
  <c r="A153" i="2"/>
  <c r="K152" i="2"/>
  <c r="F152" i="2"/>
  <c r="C152" i="2"/>
  <c r="B152" i="2"/>
  <c r="A152" i="2"/>
  <c r="A151" i="2"/>
  <c r="K151" i="2" s="1"/>
  <c r="K150" i="2"/>
  <c r="F150" i="2"/>
  <c r="A150" i="2"/>
  <c r="K149" i="2"/>
  <c r="G149" i="2"/>
  <c r="H149" i="2" s="1"/>
  <c r="I149" i="2" s="1"/>
  <c r="F149" i="2"/>
  <c r="C149" i="2"/>
  <c r="B149" i="2"/>
  <c r="A149" i="2"/>
  <c r="E149" i="2" s="1"/>
  <c r="J149" i="2" s="1"/>
  <c r="A148" i="2"/>
  <c r="K147" i="2"/>
  <c r="G147" i="2"/>
  <c r="H147" i="2" s="1"/>
  <c r="I147" i="2" s="1"/>
  <c r="F147" i="2"/>
  <c r="E147" i="2"/>
  <c r="J147" i="2" s="1"/>
  <c r="C147" i="2"/>
  <c r="A147" i="2"/>
  <c r="B147" i="2" s="1"/>
  <c r="K146" i="2"/>
  <c r="J146" i="2"/>
  <c r="I146" i="2"/>
  <c r="H146" i="2"/>
  <c r="G146" i="2"/>
  <c r="F146" i="2"/>
  <c r="E146" i="2"/>
  <c r="C146" i="2"/>
  <c r="B146" i="2"/>
  <c r="A146" i="2"/>
  <c r="A145" i="2"/>
  <c r="G145" i="2" s="1"/>
  <c r="H145" i="2" s="1"/>
  <c r="I145" i="2" s="1"/>
  <c r="K144" i="2"/>
  <c r="F144" i="2"/>
  <c r="A144" i="2"/>
  <c r="A143" i="2"/>
  <c r="A142" i="2"/>
  <c r="K141" i="2"/>
  <c r="A141" i="2"/>
  <c r="G140" i="2"/>
  <c r="H140" i="2" s="1"/>
  <c r="I140" i="2" s="1"/>
  <c r="F140" i="2"/>
  <c r="E140" i="2"/>
  <c r="J140" i="2" s="1"/>
  <c r="A140" i="2"/>
  <c r="B140" i="2" s="1"/>
  <c r="A139" i="2"/>
  <c r="K139" i="2" s="1"/>
  <c r="A138" i="2"/>
  <c r="K137" i="2"/>
  <c r="H137" i="2"/>
  <c r="I137" i="2" s="1"/>
  <c r="F137" i="2"/>
  <c r="E137" i="2"/>
  <c r="J137" i="2" s="1"/>
  <c r="C137" i="2"/>
  <c r="B137" i="2"/>
  <c r="A137" i="2"/>
  <c r="G137" i="2" s="1"/>
  <c r="G136" i="2"/>
  <c r="H136" i="2" s="1"/>
  <c r="I136" i="2" s="1"/>
  <c r="F136" i="2"/>
  <c r="E136" i="2"/>
  <c r="J136" i="2" s="1"/>
  <c r="A136" i="2"/>
  <c r="B136" i="2" s="1"/>
  <c r="K135" i="2"/>
  <c r="I135" i="2"/>
  <c r="H135" i="2"/>
  <c r="G135" i="2"/>
  <c r="F135" i="2"/>
  <c r="E135" i="2"/>
  <c r="J135" i="2" s="1"/>
  <c r="C135" i="2"/>
  <c r="B135" i="2"/>
  <c r="A135" i="2"/>
  <c r="A134" i="2"/>
  <c r="K133" i="2"/>
  <c r="G133" i="2"/>
  <c r="H133" i="2" s="1"/>
  <c r="I133" i="2" s="1"/>
  <c r="F133" i="2"/>
  <c r="E133" i="2"/>
  <c r="J133" i="2" s="1"/>
  <c r="C133" i="2"/>
  <c r="A133" i="2"/>
  <c r="B133" i="2" s="1"/>
  <c r="K132" i="2"/>
  <c r="B132" i="2"/>
  <c r="A132" i="2"/>
  <c r="K131" i="2"/>
  <c r="J131" i="2"/>
  <c r="G131" i="2"/>
  <c r="H131" i="2" s="1"/>
  <c r="I131" i="2" s="1"/>
  <c r="F131" i="2"/>
  <c r="E131" i="2"/>
  <c r="A131" i="2"/>
  <c r="B131" i="2" s="1"/>
  <c r="G130" i="2"/>
  <c r="H130" i="2" s="1"/>
  <c r="I130" i="2" s="1"/>
  <c r="C130" i="2"/>
  <c r="B130" i="2"/>
  <c r="A130" i="2"/>
  <c r="F129" i="2"/>
  <c r="E129" i="2"/>
  <c r="J129" i="2" s="1"/>
  <c r="A129" i="2"/>
  <c r="A128" i="2"/>
  <c r="K128" i="2" s="1"/>
  <c r="G127" i="2"/>
  <c r="H127" i="2" s="1"/>
  <c r="I127" i="2" s="1"/>
  <c r="A127" i="2"/>
  <c r="K127" i="2" s="1"/>
  <c r="K126" i="2"/>
  <c r="J126" i="2"/>
  <c r="H126" i="2"/>
  <c r="I126" i="2" s="1"/>
  <c r="G126" i="2"/>
  <c r="F126" i="2"/>
  <c r="E126" i="2"/>
  <c r="B126" i="2"/>
  <c r="A126" i="2"/>
  <c r="C126" i="2" s="1"/>
  <c r="J125" i="2"/>
  <c r="G125" i="2"/>
  <c r="H125" i="2" s="1"/>
  <c r="I125" i="2" s="1"/>
  <c r="F125" i="2"/>
  <c r="E125" i="2"/>
  <c r="C125" i="2"/>
  <c r="B125" i="2"/>
  <c r="A125" i="2"/>
  <c r="K125" i="2" s="1"/>
  <c r="K124" i="2"/>
  <c r="A124" i="2"/>
  <c r="B124" i="2" s="1"/>
  <c r="K123" i="2"/>
  <c r="E123" i="2"/>
  <c r="J123" i="2" s="1"/>
  <c r="C123" i="2"/>
  <c r="A123" i="2"/>
  <c r="G122" i="2"/>
  <c r="H122" i="2" s="1"/>
  <c r="I122" i="2" s="1"/>
  <c r="E122" i="2"/>
  <c r="J122" i="2" s="1"/>
  <c r="C122" i="2"/>
  <c r="B122" i="2"/>
  <c r="A122" i="2"/>
  <c r="A121" i="2"/>
  <c r="E121" i="2" s="1"/>
  <c r="J121" i="2" s="1"/>
  <c r="K120" i="2"/>
  <c r="G120" i="2"/>
  <c r="H120" i="2" s="1"/>
  <c r="I120" i="2" s="1"/>
  <c r="F120" i="2"/>
  <c r="E120" i="2"/>
  <c r="J120" i="2" s="1"/>
  <c r="C120" i="2"/>
  <c r="B120" i="2"/>
  <c r="A120" i="2"/>
  <c r="A119" i="2"/>
  <c r="B119" i="2" s="1"/>
  <c r="G118" i="2"/>
  <c r="H118" i="2" s="1"/>
  <c r="I118" i="2" s="1"/>
  <c r="C118" i="2"/>
  <c r="B118" i="2"/>
  <c r="A118" i="2"/>
  <c r="K117" i="2"/>
  <c r="G117" i="2"/>
  <c r="H117" i="2" s="1"/>
  <c r="I117" i="2" s="1"/>
  <c r="F117" i="2"/>
  <c r="E117" i="2"/>
  <c r="J117" i="2" s="1"/>
  <c r="C117" i="2"/>
  <c r="A117" i="2"/>
  <c r="B117" i="2" s="1"/>
  <c r="K116" i="2"/>
  <c r="J116" i="2"/>
  <c r="G116" i="2"/>
  <c r="H116" i="2" s="1"/>
  <c r="I116" i="2" s="1"/>
  <c r="F116" i="2"/>
  <c r="C116" i="2"/>
  <c r="B116" i="2"/>
  <c r="A116" i="2"/>
  <c r="E116" i="2" s="1"/>
  <c r="F115" i="2"/>
  <c r="E115" i="2"/>
  <c r="J115" i="2" s="1"/>
  <c r="C115" i="2"/>
  <c r="A115" i="2"/>
  <c r="J114" i="2"/>
  <c r="I114" i="2"/>
  <c r="H114" i="2"/>
  <c r="G114" i="2"/>
  <c r="F114" i="2"/>
  <c r="E114" i="2"/>
  <c r="C114" i="2"/>
  <c r="A114" i="2"/>
  <c r="K114" i="2" s="1"/>
  <c r="K113" i="2"/>
  <c r="H113" i="2"/>
  <c r="I113" i="2" s="1"/>
  <c r="G113" i="2"/>
  <c r="F113" i="2"/>
  <c r="E113" i="2"/>
  <c r="J113" i="2" s="1"/>
  <c r="C113" i="2"/>
  <c r="B113" i="2"/>
  <c r="A113" i="2"/>
  <c r="K112" i="2"/>
  <c r="C112" i="2"/>
  <c r="A112" i="2"/>
  <c r="K111" i="2"/>
  <c r="G111" i="2"/>
  <c r="H111" i="2" s="1"/>
  <c r="I111" i="2" s="1"/>
  <c r="F111" i="2"/>
  <c r="E111" i="2"/>
  <c r="J111" i="2" s="1"/>
  <c r="C111" i="2"/>
  <c r="B111" i="2"/>
  <c r="A111" i="2"/>
  <c r="K110" i="2"/>
  <c r="J110" i="2"/>
  <c r="I110" i="2"/>
  <c r="H110" i="2"/>
  <c r="G110" i="2"/>
  <c r="E110" i="2"/>
  <c r="C110" i="2"/>
  <c r="B110" i="2"/>
  <c r="A110" i="2"/>
  <c r="F110" i="2" s="1"/>
  <c r="K109" i="2"/>
  <c r="H109" i="2"/>
  <c r="I109" i="2" s="1"/>
  <c r="F109" i="2"/>
  <c r="E109" i="2"/>
  <c r="J109" i="2" s="1"/>
  <c r="C109" i="2"/>
  <c r="B109" i="2"/>
  <c r="A109" i="2"/>
  <c r="G109" i="2" s="1"/>
  <c r="A108" i="2"/>
  <c r="K107" i="2"/>
  <c r="G107" i="2"/>
  <c r="H107" i="2" s="1"/>
  <c r="I107" i="2" s="1"/>
  <c r="F107" i="2"/>
  <c r="E107" i="2"/>
  <c r="J107" i="2" s="1"/>
  <c r="C107" i="2"/>
  <c r="B107" i="2"/>
  <c r="A107" i="2"/>
  <c r="K106" i="2"/>
  <c r="J106" i="2"/>
  <c r="G106" i="2"/>
  <c r="H106" i="2" s="1"/>
  <c r="I106" i="2" s="1"/>
  <c r="F106" i="2"/>
  <c r="C106" i="2"/>
  <c r="B106" i="2"/>
  <c r="A106" i="2"/>
  <c r="E106" i="2" s="1"/>
  <c r="A105" i="2"/>
  <c r="K104" i="2"/>
  <c r="J104" i="2"/>
  <c r="G104" i="2"/>
  <c r="H104" i="2" s="1"/>
  <c r="I104" i="2" s="1"/>
  <c r="F104" i="2"/>
  <c r="E104" i="2"/>
  <c r="C104" i="2"/>
  <c r="B104" i="2"/>
  <c r="A104" i="2"/>
  <c r="A103" i="2"/>
  <c r="K102" i="2"/>
  <c r="G102" i="2"/>
  <c r="H102" i="2" s="1"/>
  <c r="I102" i="2" s="1"/>
  <c r="F102" i="2"/>
  <c r="E102" i="2"/>
  <c r="J102" i="2" s="1"/>
  <c r="C102" i="2"/>
  <c r="B102" i="2"/>
  <c r="A102" i="2"/>
  <c r="E101" i="2"/>
  <c r="J101" i="2" s="1"/>
  <c r="A101" i="2"/>
  <c r="K100" i="2"/>
  <c r="A100" i="2"/>
  <c r="A99" i="2"/>
  <c r="K98" i="2"/>
  <c r="H98" i="2"/>
  <c r="I98" i="2" s="1"/>
  <c r="F98" i="2"/>
  <c r="A98" i="2"/>
  <c r="G98" i="2" s="1"/>
  <c r="K97" i="2"/>
  <c r="J97" i="2"/>
  <c r="I97" i="2"/>
  <c r="G97" i="2"/>
  <c r="H97" i="2" s="1"/>
  <c r="F97" i="2"/>
  <c r="E97" i="2"/>
  <c r="C97" i="2"/>
  <c r="B97" i="2"/>
  <c r="A97" i="2"/>
  <c r="A96" i="2"/>
  <c r="K96" i="2" s="1"/>
  <c r="G95" i="2"/>
  <c r="H95" i="2" s="1"/>
  <c r="I95" i="2" s="1"/>
  <c r="F95" i="2"/>
  <c r="E95" i="2"/>
  <c r="J95" i="2" s="1"/>
  <c r="B95" i="2"/>
  <c r="A95" i="2"/>
  <c r="C95" i="2" s="1"/>
  <c r="E94" i="2"/>
  <c r="J94" i="2" s="1"/>
  <c r="A94" i="2"/>
  <c r="A93" i="2"/>
  <c r="B93" i="2" s="1"/>
  <c r="K92" i="2"/>
  <c r="A92" i="2"/>
  <c r="G92" i="2" s="1"/>
  <c r="H92" i="2" s="1"/>
  <c r="I92" i="2" s="1"/>
  <c r="K91" i="2"/>
  <c r="G91" i="2"/>
  <c r="H91" i="2" s="1"/>
  <c r="I91" i="2" s="1"/>
  <c r="F91" i="2"/>
  <c r="E91" i="2"/>
  <c r="J91" i="2" s="1"/>
  <c r="C91" i="2"/>
  <c r="A91" i="2"/>
  <c r="B91" i="2" s="1"/>
  <c r="G90" i="2"/>
  <c r="H90" i="2" s="1"/>
  <c r="I90" i="2" s="1"/>
  <c r="F90" i="2"/>
  <c r="C90" i="2"/>
  <c r="A90" i="2"/>
  <c r="F89" i="2"/>
  <c r="C89" i="2"/>
  <c r="B89" i="2"/>
  <c r="A89" i="2"/>
  <c r="K88" i="2"/>
  <c r="G88" i="2"/>
  <c r="H88" i="2" s="1"/>
  <c r="I88" i="2" s="1"/>
  <c r="E88" i="2"/>
  <c r="J88" i="2" s="1"/>
  <c r="C88" i="2"/>
  <c r="B88" i="2"/>
  <c r="A88" i="2"/>
  <c r="F88" i="2" s="1"/>
  <c r="A87" i="2"/>
  <c r="A86" i="2"/>
  <c r="B86" i="2" s="1"/>
  <c r="K85" i="2"/>
  <c r="J85" i="2"/>
  <c r="I85" i="2"/>
  <c r="G85" i="2"/>
  <c r="H85" i="2" s="1"/>
  <c r="F85" i="2"/>
  <c r="E85" i="2"/>
  <c r="C85" i="2"/>
  <c r="B85" i="2"/>
  <c r="A85" i="2"/>
  <c r="K84" i="2"/>
  <c r="J84" i="2"/>
  <c r="G84" i="2"/>
  <c r="H84" i="2" s="1"/>
  <c r="I84" i="2" s="1"/>
  <c r="F84" i="2"/>
  <c r="E84" i="2"/>
  <c r="B84" i="2"/>
  <c r="A84" i="2"/>
  <c r="C84" i="2" s="1"/>
  <c r="A83" i="2"/>
  <c r="K82" i="2"/>
  <c r="C82" i="2"/>
  <c r="A82" i="2"/>
  <c r="G82" i="2" s="1"/>
  <c r="H82" i="2" s="1"/>
  <c r="I82" i="2" s="1"/>
  <c r="K81" i="2"/>
  <c r="G81" i="2"/>
  <c r="H81" i="2" s="1"/>
  <c r="I81" i="2" s="1"/>
  <c r="F81" i="2"/>
  <c r="E81" i="2"/>
  <c r="J81" i="2" s="1"/>
  <c r="C81" i="2"/>
  <c r="B81" i="2"/>
  <c r="A81" i="2"/>
  <c r="K80" i="2"/>
  <c r="H80" i="2"/>
  <c r="I80" i="2" s="1"/>
  <c r="G80" i="2"/>
  <c r="A80" i="2"/>
  <c r="A79" i="2"/>
  <c r="A78" i="2"/>
  <c r="E78" i="2" s="1"/>
  <c r="J78" i="2" s="1"/>
  <c r="K77" i="2"/>
  <c r="F77" i="2"/>
  <c r="E77" i="2"/>
  <c r="J77" i="2" s="1"/>
  <c r="A77" i="2"/>
  <c r="G77" i="2" s="1"/>
  <c r="H77" i="2" s="1"/>
  <c r="I77" i="2" s="1"/>
  <c r="A76" i="2"/>
  <c r="E76" i="2" s="1"/>
  <c r="J76" i="2" s="1"/>
  <c r="A75" i="2"/>
  <c r="B75" i="2" s="1"/>
  <c r="F74" i="2"/>
  <c r="C74" i="2"/>
  <c r="B74" i="2"/>
  <c r="A74" i="2"/>
  <c r="K73" i="2"/>
  <c r="G73" i="2"/>
  <c r="H73" i="2" s="1"/>
  <c r="I73" i="2" s="1"/>
  <c r="F73" i="2"/>
  <c r="E73" i="2"/>
  <c r="J73" i="2" s="1"/>
  <c r="C73" i="2"/>
  <c r="B73" i="2"/>
  <c r="A73" i="2"/>
  <c r="J72" i="2"/>
  <c r="G72" i="2"/>
  <c r="H72" i="2" s="1"/>
  <c r="I72" i="2" s="1"/>
  <c r="F72" i="2"/>
  <c r="E72" i="2"/>
  <c r="C72" i="2"/>
  <c r="B72" i="2"/>
  <c r="A72" i="2"/>
  <c r="K72" i="2" s="1"/>
  <c r="A71" i="2"/>
  <c r="K70" i="2"/>
  <c r="G70" i="2"/>
  <c r="H70" i="2" s="1"/>
  <c r="I70" i="2" s="1"/>
  <c r="F70" i="2"/>
  <c r="E70" i="2"/>
  <c r="J70" i="2" s="1"/>
  <c r="C70" i="2"/>
  <c r="B70" i="2"/>
  <c r="A70" i="2"/>
  <c r="A69" i="2"/>
  <c r="K68" i="2"/>
  <c r="J68" i="2"/>
  <c r="G68" i="2"/>
  <c r="H68" i="2" s="1"/>
  <c r="I68" i="2" s="1"/>
  <c r="F68" i="2"/>
  <c r="E68" i="2"/>
  <c r="B68" i="2"/>
  <c r="A68" i="2"/>
  <c r="C68" i="2" s="1"/>
  <c r="G67" i="2"/>
  <c r="H67" i="2" s="1"/>
  <c r="I67" i="2" s="1"/>
  <c r="F67" i="2"/>
  <c r="E67" i="2"/>
  <c r="J67" i="2" s="1"/>
  <c r="C67" i="2"/>
  <c r="A67" i="2"/>
  <c r="K67" i="2" s="1"/>
  <c r="K66" i="2"/>
  <c r="J66" i="2"/>
  <c r="G66" i="2"/>
  <c r="H66" i="2" s="1"/>
  <c r="I66" i="2" s="1"/>
  <c r="F66" i="2"/>
  <c r="C66" i="2"/>
  <c r="A66" i="2"/>
  <c r="E66" i="2" s="1"/>
  <c r="K65" i="2"/>
  <c r="J65" i="2"/>
  <c r="G65" i="2"/>
  <c r="H65" i="2" s="1"/>
  <c r="I65" i="2" s="1"/>
  <c r="F65" i="2"/>
  <c r="E65" i="2"/>
  <c r="C65" i="2"/>
  <c r="B65" i="2"/>
  <c r="A65" i="2"/>
  <c r="K64" i="2"/>
  <c r="G64" i="2"/>
  <c r="H64" i="2" s="1"/>
  <c r="I64" i="2" s="1"/>
  <c r="A64" i="2"/>
  <c r="F64" i="2" s="1"/>
  <c r="A63" i="2"/>
  <c r="A62" i="2"/>
  <c r="A61" i="2"/>
  <c r="K60" i="2"/>
  <c r="A60" i="2"/>
  <c r="K59" i="2"/>
  <c r="G59" i="2"/>
  <c r="H59" i="2" s="1"/>
  <c r="I59" i="2" s="1"/>
  <c r="F59" i="2"/>
  <c r="A59" i="2"/>
  <c r="E59" i="2" s="1"/>
  <c r="J59" i="2" s="1"/>
  <c r="A58" i="2"/>
  <c r="K57" i="2"/>
  <c r="C57" i="2"/>
  <c r="A57" i="2"/>
  <c r="G57" i="2" s="1"/>
  <c r="H57" i="2" s="1"/>
  <c r="I57" i="2" s="1"/>
  <c r="A56" i="2"/>
  <c r="A55" i="2"/>
  <c r="B55" i="2" s="1"/>
  <c r="A54" i="2"/>
  <c r="A53" i="2"/>
  <c r="C53" i="2" s="1"/>
  <c r="K52" i="2"/>
  <c r="J52" i="2"/>
  <c r="G52" i="2"/>
  <c r="H52" i="2" s="1"/>
  <c r="I52" i="2" s="1"/>
  <c r="F52" i="2"/>
  <c r="E52" i="2"/>
  <c r="A52" i="2"/>
  <c r="C52" i="2" s="1"/>
  <c r="A51" i="2"/>
  <c r="K50" i="2"/>
  <c r="I50" i="2"/>
  <c r="F50" i="2"/>
  <c r="E50" i="2"/>
  <c r="J50" i="2" s="1"/>
  <c r="C50" i="2"/>
  <c r="B50" i="2"/>
  <c r="A50" i="2"/>
  <c r="G50" i="2" s="1"/>
  <c r="H50" i="2" s="1"/>
  <c r="K49" i="2"/>
  <c r="G49" i="2"/>
  <c r="H49" i="2" s="1"/>
  <c r="I49" i="2" s="1"/>
  <c r="F49" i="2"/>
  <c r="E49" i="2"/>
  <c r="J49" i="2" s="1"/>
  <c r="C49" i="2"/>
  <c r="B49" i="2"/>
  <c r="A49" i="2"/>
  <c r="A48" i="2"/>
  <c r="B48" i="2" s="1"/>
  <c r="K47" i="2"/>
  <c r="G47" i="2"/>
  <c r="H47" i="2" s="1"/>
  <c r="I47" i="2" s="1"/>
  <c r="C47" i="2"/>
  <c r="B47" i="2"/>
  <c r="A47" i="2"/>
  <c r="F47" i="2" s="1"/>
  <c r="E46" i="2"/>
  <c r="J46" i="2" s="1"/>
  <c r="A46" i="2"/>
  <c r="K45" i="2"/>
  <c r="G45" i="2"/>
  <c r="H45" i="2" s="1"/>
  <c r="I45" i="2" s="1"/>
  <c r="A45" i="2"/>
  <c r="B45" i="2" s="1"/>
  <c r="K44" i="2"/>
  <c r="F44" i="2"/>
  <c r="E44" i="2"/>
  <c r="J44" i="2" s="1"/>
  <c r="C44" i="2"/>
  <c r="B44" i="2"/>
  <c r="A44" i="2"/>
  <c r="G44" i="2" s="1"/>
  <c r="H44" i="2" s="1"/>
  <c r="I44" i="2" s="1"/>
  <c r="K43" i="2"/>
  <c r="G43" i="2"/>
  <c r="H43" i="2" s="1"/>
  <c r="I43" i="2" s="1"/>
  <c r="E43" i="2"/>
  <c r="J43" i="2" s="1"/>
  <c r="C43" i="2"/>
  <c r="B43" i="2"/>
  <c r="A43" i="2"/>
  <c r="F43" i="2" s="1"/>
  <c r="A42" i="2"/>
  <c r="K42" i="2" s="1"/>
  <c r="A41" i="2"/>
  <c r="B41" i="2" s="1"/>
  <c r="G40" i="2"/>
  <c r="H40" i="2" s="1"/>
  <c r="I40" i="2" s="1"/>
  <c r="F40" i="2"/>
  <c r="E40" i="2"/>
  <c r="J40" i="2" s="1"/>
  <c r="C40" i="2"/>
  <c r="A40" i="2"/>
  <c r="B40" i="2" s="1"/>
  <c r="K39" i="2"/>
  <c r="H39" i="2"/>
  <c r="I39" i="2" s="1"/>
  <c r="G39" i="2"/>
  <c r="E39" i="2"/>
  <c r="J39" i="2" s="1"/>
  <c r="C39" i="2"/>
  <c r="B39" i="2"/>
  <c r="A39" i="2"/>
  <c r="F39" i="2" s="1"/>
  <c r="K38" i="2"/>
  <c r="H38" i="2"/>
  <c r="I38" i="2" s="1"/>
  <c r="F38" i="2"/>
  <c r="A38" i="2"/>
  <c r="G38" i="2" s="1"/>
  <c r="K37" i="2"/>
  <c r="G37" i="2"/>
  <c r="H37" i="2" s="1"/>
  <c r="I37" i="2" s="1"/>
  <c r="F37" i="2"/>
  <c r="E37" i="2"/>
  <c r="J37" i="2" s="1"/>
  <c r="C37" i="2"/>
  <c r="B37" i="2"/>
  <c r="A37" i="2"/>
  <c r="G36" i="2"/>
  <c r="H36" i="2" s="1"/>
  <c r="I36" i="2" s="1"/>
  <c r="F36" i="2"/>
  <c r="E36" i="2"/>
  <c r="J36" i="2" s="1"/>
  <c r="A36" i="2"/>
  <c r="C36" i="2" s="1"/>
  <c r="K35" i="2"/>
  <c r="G35" i="2"/>
  <c r="H35" i="2" s="1"/>
  <c r="I35" i="2" s="1"/>
  <c r="F35" i="2"/>
  <c r="E35" i="2"/>
  <c r="J35" i="2" s="1"/>
  <c r="A35" i="2"/>
  <c r="C35" i="2" s="1"/>
  <c r="A34" i="2"/>
  <c r="G34" i="2" s="1"/>
  <c r="H34" i="2" s="1"/>
  <c r="I34" i="2" s="1"/>
  <c r="K33" i="2"/>
  <c r="J33" i="2"/>
  <c r="I33" i="2"/>
  <c r="H33" i="2"/>
  <c r="F33" i="2"/>
  <c r="E33" i="2"/>
  <c r="C33" i="2"/>
  <c r="B33" i="2"/>
  <c r="A33" i="2"/>
  <c r="G33" i="2" s="1"/>
  <c r="K32" i="2"/>
  <c r="G32" i="2"/>
  <c r="H32" i="2" s="1"/>
  <c r="I32" i="2" s="1"/>
  <c r="F32" i="2"/>
  <c r="E32" i="2"/>
  <c r="J32" i="2" s="1"/>
  <c r="C32" i="2"/>
  <c r="B32" i="2"/>
  <c r="A32" i="2"/>
  <c r="K31" i="2"/>
  <c r="B31" i="2"/>
  <c r="A31" i="2"/>
  <c r="A30" i="2"/>
  <c r="F30" i="2" s="1"/>
  <c r="K29" i="2"/>
  <c r="H29" i="2"/>
  <c r="I29" i="2" s="1"/>
  <c r="G29" i="2"/>
  <c r="A29" i="2"/>
  <c r="F29" i="2" s="1"/>
  <c r="K28" i="2"/>
  <c r="I28" i="2"/>
  <c r="H28" i="2"/>
  <c r="G28" i="2"/>
  <c r="F28" i="2"/>
  <c r="E28" i="2"/>
  <c r="J28" i="2" s="1"/>
  <c r="C28" i="2"/>
  <c r="B28" i="2"/>
  <c r="A28" i="2"/>
  <c r="A27" i="2"/>
  <c r="G26" i="2"/>
  <c r="H26" i="2" s="1"/>
  <c r="I26" i="2" s="1"/>
  <c r="F26" i="2"/>
  <c r="C26" i="2"/>
  <c r="B26" i="2"/>
  <c r="A26" i="2"/>
  <c r="K26" i="2" s="1"/>
  <c r="A25" i="2"/>
  <c r="C25" i="2" s="1"/>
  <c r="E24" i="2"/>
  <c r="J24" i="2" s="1"/>
  <c r="C24" i="2"/>
  <c r="B24" i="2"/>
  <c r="A24" i="2"/>
  <c r="A23" i="2"/>
  <c r="K22" i="2"/>
  <c r="J22" i="2"/>
  <c r="G22" i="2"/>
  <c r="H22" i="2" s="1"/>
  <c r="I22" i="2" s="1"/>
  <c r="E22" i="2"/>
  <c r="C22" i="2"/>
  <c r="B22" i="2"/>
  <c r="A22" i="2"/>
  <c r="F22" i="2" s="1"/>
  <c r="K21" i="2"/>
  <c r="G21" i="2"/>
  <c r="H21" i="2" s="1"/>
  <c r="I21" i="2" s="1"/>
  <c r="F21" i="2"/>
  <c r="A21" i="2"/>
  <c r="E21" i="2" s="1"/>
  <c r="J21" i="2" s="1"/>
  <c r="A20" i="2"/>
  <c r="K20" i="2" s="1"/>
  <c r="K19" i="2"/>
  <c r="G19" i="2"/>
  <c r="H19" i="2" s="1"/>
  <c r="I19" i="2" s="1"/>
  <c r="A19" i="2"/>
  <c r="C19" i="2" s="1"/>
  <c r="K18" i="2"/>
  <c r="G18" i="2"/>
  <c r="H18" i="2" s="1"/>
  <c r="I18" i="2" s="1"/>
  <c r="F18" i="2"/>
  <c r="E18" i="2"/>
  <c r="J18" i="2" s="1"/>
  <c r="C18" i="2"/>
  <c r="A18" i="2"/>
  <c r="B18" i="2" s="1"/>
  <c r="A17" i="2"/>
  <c r="K16" i="2"/>
  <c r="G16" i="2"/>
  <c r="H16" i="2" s="1"/>
  <c r="I16" i="2" s="1"/>
  <c r="F16" i="2"/>
  <c r="E16" i="2"/>
  <c r="J16" i="2" s="1"/>
  <c r="C16" i="2"/>
  <c r="B16" i="2"/>
  <c r="A16" i="2"/>
  <c r="G15" i="2"/>
  <c r="H15" i="2" s="1"/>
  <c r="I15" i="2" s="1"/>
  <c r="F15" i="2"/>
  <c r="E15" i="2"/>
  <c r="J15" i="2" s="1"/>
  <c r="C15" i="2"/>
  <c r="B15" i="2"/>
  <c r="A15" i="2"/>
  <c r="K15" i="2" s="1"/>
  <c r="K14" i="2"/>
  <c r="B14" i="2"/>
  <c r="A14" i="2"/>
  <c r="A13" i="2"/>
  <c r="E13" i="2" s="1"/>
  <c r="J13" i="2" s="1"/>
  <c r="K12" i="2"/>
  <c r="G12" i="2"/>
  <c r="H12" i="2" s="1"/>
  <c r="I12" i="2" s="1"/>
  <c r="F12" i="2"/>
  <c r="E12" i="2"/>
  <c r="J12" i="2" s="1"/>
  <c r="A12" i="2"/>
  <c r="K11" i="2"/>
  <c r="H11" i="2"/>
  <c r="I11" i="2" s="1"/>
  <c r="G11" i="2"/>
  <c r="F11" i="2"/>
  <c r="E11" i="2"/>
  <c r="J11" i="2" s="1"/>
  <c r="C11" i="2"/>
  <c r="A11" i="2"/>
  <c r="B11" i="2" s="1"/>
  <c r="A10" i="2"/>
  <c r="K9" i="2"/>
  <c r="C9" i="2"/>
  <c r="A9" i="2"/>
  <c r="G9" i="2" s="1"/>
  <c r="H9" i="2" s="1"/>
  <c r="I9" i="2" s="1"/>
  <c r="G8" i="2"/>
  <c r="H8" i="2" s="1"/>
  <c r="I8" i="2" s="1"/>
  <c r="F8" i="2"/>
  <c r="E8" i="2"/>
  <c r="J8" i="2" s="1"/>
  <c r="A8" i="2"/>
  <c r="K8" i="2" s="1"/>
  <c r="G7" i="2"/>
  <c r="H7" i="2" s="1"/>
  <c r="I7" i="2" s="1"/>
  <c r="F7" i="2"/>
  <c r="A7" i="2"/>
  <c r="K7" i="2" s="1"/>
  <c r="C6" i="2"/>
  <c r="A6" i="2"/>
  <c r="K5" i="2"/>
  <c r="G5" i="2"/>
  <c r="H5" i="2" s="1"/>
  <c r="I5" i="2" s="1"/>
  <c r="F5" i="2"/>
  <c r="E5" i="2"/>
  <c r="J5" i="2" s="1"/>
  <c r="C5" i="2"/>
  <c r="B5" i="2"/>
  <c r="A5" i="2"/>
  <c r="C4" i="2"/>
  <c r="A4" i="2"/>
  <c r="B17" i="1"/>
  <c r="D4" i="3" s="1"/>
  <c r="B10" i="1"/>
  <c r="B4" i="3" s="1"/>
  <c r="B9" i="1"/>
  <c r="K203" i="2" l="1"/>
  <c r="E203" i="2"/>
  <c r="J203" i="2" s="1"/>
  <c r="C203" i="2"/>
  <c r="F203" i="2"/>
  <c r="G203" i="2"/>
  <c r="H203" i="2" s="1"/>
  <c r="I203" i="2" s="1"/>
  <c r="B203" i="2"/>
  <c r="G61" i="2"/>
  <c r="H61" i="2" s="1"/>
  <c r="I61" i="2" s="1"/>
  <c r="F61" i="2"/>
  <c r="K61" i="2"/>
  <c r="E61" i="2"/>
  <c r="J61" i="2" s="1"/>
  <c r="E160" i="2"/>
  <c r="J160" i="2" s="1"/>
  <c r="C160" i="2"/>
  <c r="B160" i="2"/>
  <c r="K160" i="2"/>
  <c r="G160" i="2"/>
  <c r="H160" i="2" s="1"/>
  <c r="I160" i="2" s="1"/>
  <c r="F160" i="2"/>
  <c r="B61" i="2"/>
  <c r="G17" i="2"/>
  <c r="H17" i="2" s="1"/>
  <c r="I17" i="2" s="1"/>
  <c r="K17" i="2"/>
  <c r="F17" i="2"/>
  <c r="E17" i="2"/>
  <c r="J17" i="2" s="1"/>
  <c r="C138" i="2"/>
  <c r="B138" i="2"/>
  <c r="K138" i="2"/>
  <c r="G138" i="2"/>
  <c r="H138" i="2" s="1"/>
  <c r="I138" i="2" s="1"/>
  <c r="F138" i="2"/>
  <c r="E138" i="2"/>
  <c r="J138" i="2" s="1"/>
  <c r="K191" i="2"/>
  <c r="G191" i="2"/>
  <c r="H191" i="2" s="1"/>
  <c r="I191" i="2" s="1"/>
  <c r="F191" i="2"/>
  <c r="C206" i="2"/>
  <c r="B206" i="2"/>
  <c r="E206" i="2"/>
  <c r="J206" i="2" s="1"/>
  <c r="G206" i="2"/>
  <c r="H206" i="2" s="1"/>
  <c r="I206" i="2" s="1"/>
  <c r="F206" i="2"/>
  <c r="K206" i="2"/>
  <c r="B17" i="2"/>
  <c r="B63" i="2"/>
  <c r="G63" i="2"/>
  <c r="H63" i="2" s="1"/>
  <c r="I63" i="2" s="1"/>
  <c r="E63" i="2"/>
  <c r="J63" i="2" s="1"/>
  <c r="F63" i="2"/>
  <c r="K63" i="2"/>
  <c r="B191" i="2"/>
  <c r="C17" i="2"/>
  <c r="C63" i="2"/>
  <c r="C191" i="2"/>
  <c r="E191" i="2"/>
  <c r="J191" i="2" s="1"/>
  <c r="K320" i="2"/>
  <c r="C320" i="2"/>
  <c r="G320" i="2"/>
  <c r="H320" i="2" s="1"/>
  <c r="I320" i="2" s="1"/>
  <c r="F320" i="2"/>
  <c r="E320" i="2"/>
  <c r="J320" i="2" s="1"/>
  <c r="B320" i="2"/>
  <c r="B11" i="1"/>
  <c r="D3" i="3" s="1"/>
  <c r="B27" i="2"/>
  <c r="K27" i="2"/>
  <c r="F27" i="2"/>
  <c r="E27" i="2"/>
  <c r="J27" i="2" s="1"/>
  <c r="K46" i="2"/>
  <c r="G46" i="2"/>
  <c r="H46" i="2" s="1"/>
  <c r="I46" i="2" s="1"/>
  <c r="F46" i="2"/>
  <c r="K101" i="2"/>
  <c r="G101" i="2"/>
  <c r="H101" i="2" s="1"/>
  <c r="I101" i="2" s="1"/>
  <c r="F101" i="2"/>
  <c r="C27" i="2"/>
  <c r="B46" i="2"/>
  <c r="B101" i="2"/>
  <c r="G27" i="2"/>
  <c r="H27" i="2" s="1"/>
  <c r="I27" i="2" s="1"/>
  <c r="C46" i="2"/>
  <c r="C101" i="2"/>
  <c r="C61" i="2"/>
  <c r="F13" i="2"/>
  <c r="F242" i="2"/>
  <c r="E242" i="2"/>
  <c r="J242" i="2" s="1"/>
  <c r="K242" i="2"/>
  <c r="K175" i="2"/>
  <c r="F175" i="2"/>
  <c r="G175" i="2"/>
  <c r="H175" i="2" s="1"/>
  <c r="I175" i="2" s="1"/>
  <c r="C175" i="2"/>
  <c r="E175" i="2"/>
  <c r="J175" i="2" s="1"/>
  <c r="B175" i="2"/>
  <c r="G96" i="2"/>
  <c r="H96" i="2" s="1"/>
  <c r="I96" i="2" s="1"/>
  <c r="B242" i="2"/>
  <c r="K276" i="2"/>
  <c r="F276" i="2"/>
  <c r="E276" i="2"/>
  <c r="J276" i="2" s="1"/>
  <c r="G276" i="2"/>
  <c r="H276" i="2" s="1"/>
  <c r="I276" i="2" s="1"/>
  <c r="K51" i="2"/>
  <c r="G51" i="2"/>
  <c r="H51" i="2" s="1"/>
  <c r="I51" i="2" s="1"/>
  <c r="F51" i="2"/>
  <c r="C51" i="2"/>
  <c r="B51" i="2"/>
  <c r="E51" i="2"/>
  <c r="J51" i="2" s="1"/>
  <c r="C242" i="2"/>
  <c r="B276" i="2"/>
  <c r="K143" i="2"/>
  <c r="G143" i="2"/>
  <c r="H143" i="2" s="1"/>
  <c r="I143" i="2" s="1"/>
  <c r="E143" i="2"/>
  <c r="J143" i="2" s="1"/>
  <c r="K41" i="2"/>
  <c r="G41" i="2"/>
  <c r="H41" i="2" s="1"/>
  <c r="I41" i="2" s="1"/>
  <c r="F143" i="2"/>
  <c r="G242" i="2"/>
  <c r="H242" i="2" s="1"/>
  <c r="I242" i="2" s="1"/>
  <c r="C276" i="2"/>
  <c r="K23" i="2"/>
  <c r="G23" i="2"/>
  <c r="H23" i="2" s="1"/>
  <c r="I23" i="2" s="1"/>
  <c r="F23" i="2"/>
  <c r="C23" i="2"/>
  <c r="E23" i="2"/>
  <c r="J23" i="2" s="1"/>
  <c r="B23" i="2"/>
  <c r="K180" i="2"/>
  <c r="F180" i="2"/>
  <c r="E180" i="2"/>
  <c r="J180" i="2" s="1"/>
  <c r="B143" i="2"/>
  <c r="G56" i="2"/>
  <c r="H56" i="2" s="1"/>
  <c r="I56" i="2" s="1"/>
  <c r="F56" i="2"/>
  <c r="E56" i="2"/>
  <c r="J56" i="2" s="1"/>
  <c r="C56" i="2"/>
  <c r="K56" i="2"/>
  <c r="B56" i="2"/>
  <c r="B96" i="2"/>
  <c r="E96" i="2"/>
  <c r="J96" i="2" s="1"/>
  <c r="E41" i="2"/>
  <c r="J41" i="2" s="1"/>
  <c r="F96" i="2"/>
  <c r="G75" i="2"/>
  <c r="H75" i="2" s="1"/>
  <c r="I75" i="2" s="1"/>
  <c r="F75" i="2"/>
  <c r="E75" i="2"/>
  <c r="J75" i="2" s="1"/>
  <c r="C75" i="2"/>
  <c r="K75" i="2"/>
  <c r="F142" i="2"/>
  <c r="K142" i="2"/>
  <c r="G142" i="2"/>
  <c r="H142" i="2" s="1"/>
  <c r="I142" i="2" s="1"/>
  <c r="E142" i="2"/>
  <c r="J142" i="2" s="1"/>
  <c r="C142" i="2"/>
  <c r="K303" i="2"/>
  <c r="G303" i="2"/>
  <c r="H303" i="2" s="1"/>
  <c r="I303" i="2" s="1"/>
  <c r="F303" i="2"/>
  <c r="C303" i="2"/>
  <c r="B303" i="2"/>
  <c r="G165" i="2"/>
  <c r="H165" i="2" s="1"/>
  <c r="I165" i="2" s="1"/>
  <c r="K165" i="2"/>
  <c r="F165" i="2"/>
  <c r="E165" i="2"/>
  <c r="J165" i="2" s="1"/>
  <c r="B165" i="2"/>
  <c r="C165" i="2"/>
  <c r="B180" i="2"/>
  <c r="E303" i="2"/>
  <c r="J303" i="2" s="1"/>
  <c r="F55" i="2"/>
  <c r="G55" i="2"/>
  <c r="H55" i="2" s="1"/>
  <c r="I55" i="2" s="1"/>
  <c r="E55" i="2"/>
  <c r="J55" i="2" s="1"/>
  <c r="C55" i="2"/>
  <c r="K108" i="2"/>
  <c r="C108" i="2"/>
  <c r="B108" i="2"/>
  <c r="G108" i="2"/>
  <c r="H108" i="2" s="1"/>
  <c r="I108" i="2" s="1"/>
  <c r="F108" i="2"/>
  <c r="E108" i="2"/>
  <c r="J108" i="2" s="1"/>
  <c r="C180" i="2"/>
  <c r="E216" i="2"/>
  <c r="J216" i="2" s="1"/>
  <c r="K216" i="2"/>
  <c r="G216" i="2"/>
  <c r="H216" i="2" s="1"/>
  <c r="I216" i="2" s="1"/>
  <c r="B216" i="2"/>
  <c r="C216" i="2"/>
  <c r="F216" i="2"/>
  <c r="G86" i="2"/>
  <c r="H86" i="2" s="1"/>
  <c r="I86" i="2" s="1"/>
  <c r="F86" i="2"/>
  <c r="E86" i="2"/>
  <c r="J86" i="2" s="1"/>
  <c r="K86" i="2"/>
  <c r="C86" i="2"/>
  <c r="B157" i="2"/>
  <c r="E157" i="2"/>
  <c r="J157" i="2" s="1"/>
  <c r="C96" i="2"/>
  <c r="C41" i="2"/>
  <c r="F103" i="2"/>
  <c r="B103" i="2"/>
  <c r="K103" i="2"/>
  <c r="G103" i="2"/>
  <c r="H103" i="2" s="1"/>
  <c r="I103" i="2" s="1"/>
  <c r="E103" i="2"/>
  <c r="J103" i="2" s="1"/>
  <c r="C103" i="2"/>
  <c r="B8" i="2"/>
  <c r="B142" i="2"/>
  <c r="K157" i="2"/>
  <c r="G157" i="2"/>
  <c r="H157" i="2" s="1"/>
  <c r="I157" i="2" s="1"/>
  <c r="G180" i="2"/>
  <c r="H180" i="2" s="1"/>
  <c r="I180" i="2" s="1"/>
  <c r="K55" i="2"/>
  <c r="C143" i="2"/>
  <c r="K13" i="2"/>
  <c r="C13" i="2"/>
  <c r="B13" i="2"/>
  <c r="G13" i="2"/>
  <c r="H13" i="2" s="1"/>
  <c r="I13" i="2" s="1"/>
  <c r="C157" i="2"/>
  <c r="F41" i="2"/>
  <c r="C8" i="2"/>
  <c r="G148" i="2"/>
  <c r="H148" i="2" s="1"/>
  <c r="I148" i="2" s="1"/>
  <c r="K148" i="2"/>
  <c r="B243" i="2"/>
  <c r="K243" i="2"/>
  <c r="E243" i="2"/>
  <c r="J243" i="2" s="1"/>
  <c r="F243" i="2"/>
  <c r="C243" i="2"/>
  <c r="K305" i="2"/>
  <c r="G305" i="2"/>
  <c r="H305" i="2" s="1"/>
  <c r="I305" i="2" s="1"/>
  <c r="F305" i="2"/>
  <c r="E305" i="2"/>
  <c r="J305" i="2" s="1"/>
  <c r="C305" i="2"/>
  <c r="G243" i="2"/>
  <c r="H243" i="2" s="1"/>
  <c r="I243" i="2" s="1"/>
  <c r="B18" i="1"/>
  <c r="B42" i="2"/>
  <c r="F71" i="2"/>
  <c r="B71" i="2"/>
  <c r="G71" i="2"/>
  <c r="H71" i="2" s="1"/>
  <c r="I71" i="2" s="1"/>
  <c r="K71" i="2"/>
  <c r="B76" i="2"/>
  <c r="B92" i="2"/>
  <c r="B121" i="2"/>
  <c r="C148" i="2"/>
  <c r="B164" i="2"/>
  <c r="C249" i="2"/>
  <c r="E4" i="2"/>
  <c r="J4" i="2" s="1"/>
  <c r="G4" i="2"/>
  <c r="H4" i="2" s="1"/>
  <c r="I4" i="2" s="1"/>
  <c r="F4" i="2"/>
  <c r="K4" i="2"/>
  <c r="C42" i="2"/>
  <c r="C71" i="2"/>
  <c r="C76" i="2"/>
  <c r="C92" i="2"/>
  <c r="C121" i="2"/>
  <c r="E144" i="2"/>
  <c r="J144" i="2" s="1"/>
  <c r="C144" i="2"/>
  <c r="E148" i="2"/>
  <c r="J148" i="2" s="1"/>
  <c r="G153" i="2"/>
  <c r="H153" i="2" s="1"/>
  <c r="I153" i="2" s="1"/>
  <c r="K153" i="2"/>
  <c r="E153" i="2"/>
  <c r="J153" i="2" s="1"/>
  <c r="C153" i="2"/>
  <c r="E164" i="2"/>
  <c r="J164" i="2" s="1"/>
  <c r="K176" i="2"/>
  <c r="E176" i="2"/>
  <c r="J176" i="2" s="1"/>
  <c r="C176" i="2"/>
  <c r="E249" i="2"/>
  <c r="J249" i="2" s="1"/>
  <c r="E262" i="2"/>
  <c r="J262" i="2" s="1"/>
  <c r="G262" i="2"/>
  <c r="H262" i="2" s="1"/>
  <c r="I262" i="2" s="1"/>
  <c r="F262" i="2"/>
  <c r="K262" i="2"/>
  <c r="B262" i="2"/>
  <c r="C338" i="2"/>
  <c r="K338" i="2"/>
  <c r="G338" i="2"/>
  <c r="H338" i="2" s="1"/>
  <c r="I338" i="2" s="1"/>
  <c r="F338" i="2"/>
  <c r="E338" i="2"/>
  <c r="J338" i="2" s="1"/>
  <c r="B338" i="2"/>
  <c r="B4" i="2"/>
  <c r="B9" i="2"/>
  <c r="E42" i="2"/>
  <c r="J42" i="2" s="1"/>
  <c r="B57" i="2"/>
  <c r="E71" i="2"/>
  <c r="J71" i="2" s="1"/>
  <c r="B82" i="2"/>
  <c r="E92" i="2"/>
  <c r="J92" i="2" s="1"/>
  <c r="G132" i="2"/>
  <c r="H132" i="2" s="1"/>
  <c r="I132" i="2" s="1"/>
  <c r="F132" i="2"/>
  <c r="E132" i="2"/>
  <c r="J132" i="2" s="1"/>
  <c r="C132" i="2"/>
  <c r="B144" i="2"/>
  <c r="F148" i="2"/>
  <c r="B153" i="2"/>
  <c r="B176" i="2"/>
  <c r="E198" i="2"/>
  <c r="J198" i="2" s="1"/>
  <c r="K198" i="2"/>
  <c r="C198" i="2"/>
  <c r="B198" i="2"/>
  <c r="K223" i="2"/>
  <c r="F223" i="2"/>
  <c r="C223" i="2"/>
  <c r="B223" i="2"/>
  <c r="C262" i="2"/>
  <c r="F76" i="2"/>
  <c r="G76" i="2"/>
  <c r="H76" i="2" s="1"/>
  <c r="I76" i="2" s="1"/>
  <c r="G121" i="2"/>
  <c r="H121" i="2" s="1"/>
  <c r="I121" i="2" s="1"/>
  <c r="K121" i="2"/>
  <c r="B148" i="2"/>
  <c r="K164" i="2"/>
  <c r="C164" i="2"/>
  <c r="G249" i="2"/>
  <c r="H249" i="2" s="1"/>
  <c r="I249" i="2" s="1"/>
  <c r="B249" i="2"/>
  <c r="K249" i="2"/>
  <c r="B305" i="2"/>
  <c r="F42" i="2"/>
  <c r="G62" i="2"/>
  <c r="H62" i="2" s="1"/>
  <c r="I62" i="2" s="1"/>
  <c r="C62" i="2"/>
  <c r="B62" i="2"/>
  <c r="F92" i="2"/>
  <c r="F121" i="2"/>
  <c r="G164" i="2"/>
  <c r="H164" i="2" s="1"/>
  <c r="I164" i="2" s="1"/>
  <c r="G263" i="2"/>
  <c r="H263" i="2" s="1"/>
  <c r="I263" i="2" s="1"/>
  <c r="C263" i="2"/>
  <c r="B263" i="2"/>
  <c r="B19" i="2"/>
  <c r="G42" i="2"/>
  <c r="H42" i="2" s="1"/>
  <c r="I42" i="2" s="1"/>
  <c r="E62" i="2"/>
  <c r="J62" i="2" s="1"/>
  <c r="E82" i="2"/>
  <c r="J82" i="2" s="1"/>
  <c r="G144" i="2"/>
  <c r="H144" i="2" s="1"/>
  <c r="I144" i="2" s="1"/>
  <c r="C170" i="2"/>
  <c r="B170" i="2"/>
  <c r="F170" i="2"/>
  <c r="E170" i="2"/>
  <c r="J170" i="2" s="1"/>
  <c r="G176" i="2"/>
  <c r="H176" i="2" s="1"/>
  <c r="I176" i="2" s="1"/>
  <c r="E230" i="2"/>
  <c r="J230" i="2" s="1"/>
  <c r="G230" i="2"/>
  <c r="H230" i="2" s="1"/>
  <c r="I230" i="2" s="1"/>
  <c r="F230" i="2"/>
  <c r="C230" i="2"/>
  <c r="B230" i="2"/>
  <c r="G236" i="2"/>
  <c r="H236" i="2" s="1"/>
  <c r="I236" i="2" s="1"/>
  <c r="F236" i="2"/>
  <c r="E236" i="2"/>
  <c r="J236" i="2" s="1"/>
  <c r="E263" i="2"/>
  <c r="J263" i="2" s="1"/>
  <c r="K289" i="2"/>
  <c r="G289" i="2"/>
  <c r="H289" i="2" s="1"/>
  <c r="I289" i="2" s="1"/>
  <c r="F289" i="2"/>
  <c r="E289" i="2"/>
  <c r="J289" i="2" s="1"/>
  <c r="C289" i="2"/>
  <c r="B289" i="2"/>
  <c r="F9" i="2"/>
  <c r="E19" i="2"/>
  <c r="J19" i="2" s="1"/>
  <c r="F24" i="2"/>
  <c r="G24" i="2"/>
  <c r="H24" i="2" s="1"/>
  <c r="I24" i="2" s="1"/>
  <c r="K24" i="2"/>
  <c r="E47" i="2"/>
  <c r="J47" i="2" s="1"/>
  <c r="F57" i="2"/>
  <c r="F62" i="2"/>
  <c r="B77" i="2"/>
  <c r="F82" i="2"/>
  <c r="B112" i="2"/>
  <c r="E112" i="2"/>
  <c r="J112" i="2" s="1"/>
  <c r="G112" i="2"/>
  <c r="H112" i="2" s="1"/>
  <c r="I112" i="2" s="1"/>
  <c r="F112" i="2"/>
  <c r="G170" i="2"/>
  <c r="H170" i="2" s="1"/>
  <c r="I170" i="2" s="1"/>
  <c r="K230" i="2"/>
  <c r="B236" i="2"/>
  <c r="F263" i="2"/>
  <c r="K76" i="2"/>
  <c r="F250" i="2"/>
  <c r="G250" i="2"/>
  <c r="H250" i="2" s="1"/>
  <c r="I250" i="2" s="1"/>
  <c r="E250" i="2"/>
  <c r="J250" i="2" s="1"/>
  <c r="C250" i="2"/>
  <c r="E9" i="2"/>
  <c r="J9" i="2" s="1"/>
  <c r="E57" i="2"/>
  <c r="J57" i="2" s="1"/>
  <c r="F19" i="2"/>
  <c r="K62" i="2"/>
  <c r="C77" i="2"/>
  <c r="K122" i="2"/>
  <c r="F122" i="2"/>
  <c r="C236" i="2"/>
  <c r="K250" i="2"/>
  <c r="K83" i="2"/>
  <c r="B83" i="2"/>
  <c r="G83" i="2"/>
  <c r="H83" i="2" s="1"/>
  <c r="I83" i="2" s="1"/>
  <c r="F83" i="2"/>
  <c r="E83" i="2"/>
  <c r="J83" i="2" s="1"/>
  <c r="C83" i="2"/>
  <c r="B20" i="2"/>
  <c r="C58" i="2"/>
  <c r="E58" i="2"/>
  <c r="J58" i="2" s="1"/>
  <c r="B58" i="2"/>
  <c r="B78" i="2"/>
  <c r="C93" i="2"/>
  <c r="B128" i="2"/>
  <c r="E139" i="2"/>
  <c r="J139" i="2" s="1"/>
  <c r="B171" i="2"/>
  <c r="C252" i="2"/>
  <c r="G265" i="2"/>
  <c r="H265" i="2" s="1"/>
  <c r="I265" i="2" s="1"/>
  <c r="K265" i="2"/>
  <c r="F265" i="2"/>
  <c r="E265" i="2"/>
  <c r="J265" i="2" s="1"/>
  <c r="C265" i="2"/>
  <c r="C20" i="2"/>
  <c r="K25" i="2"/>
  <c r="B30" i="2"/>
  <c r="C34" i="2"/>
  <c r="E53" i="2"/>
  <c r="J53" i="2" s="1"/>
  <c r="F58" i="2"/>
  <c r="C78" i="2"/>
  <c r="G139" i="2"/>
  <c r="H139" i="2" s="1"/>
  <c r="I139" i="2" s="1"/>
  <c r="F171" i="2"/>
  <c r="B265" i="2"/>
  <c r="C139" i="2"/>
  <c r="B34" i="2"/>
  <c r="E20" i="2"/>
  <c r="J20" i="2" s="1"/>
  <c r="C30" i="2"/>
  <c r="E34" i="2"/>
  <c r="J34" i="2" s="1"/>
  <c r="F53" i="2"/>
  <c r="G58" i="2"/>
  <c r="H58" i="2" s="1"/>
  <c r="I58" i="2" s="1"/>
  <c r="F78" i="2"/>
  <c r="K89" i="2"/>
  <c r="G89" i="2"/>
  <c r="H89" i="2" s="1"/>
  <c r="I89" i="2" s="1"/>
  <c r="K93" i="2"/>
  <c r="E118" i="2"/>
  <c r="J118" i="2" s="1"/>
  <c r="K118" i="2"/>
  <c r="F184" i="2"/>
  <c r="E184" i="2"/>
  <c r="J184" i="2" s="1"/>
  <c r="K184" i="2"/>
  <c r="G78" i="2"/>
  <c r="H78" i="2" s="1"/>
  <c r="I78" i="2" s="1"/>
  <c r="G94" i="2"/>
  <c r="H94" i="2" s="1"/>
  <c r="I94" i="2" s="1"/>
  <c r="K94" i="2"/>
  <c r="K99" i="2"/>
  <c r="G99" i="2"/>
  <c r="H99" i="2" s="1"/>
  <c r="I99" i="2" s="1"/>
  <c r="F99" i="2"/>
  <c r="E99" i="2"/>
  <c r="J99" i="2" s="1"/>
  <c r="E134" i="2"/>
  <c r="J134" i="2" s="1"/>
  <c r="K134" i="2"/>
  <c r="G134" i="2"/>
  <c r="H134" i="2" s="1"/>
  <c r="I134" i="2" s="1"/>
  <c r="F134" i="2"/>
  <c r="G238" i="2"/>
  <c r="H238" i="2" s="1"/>
  <c r="I238" i="2" s="1"/>
  <c r="F238" i="2"/>
  <c r="E238" i="2"/>
  <c r="J238" i="2" s="1"/>
  <c r="C238" i="2"/>
  <c r="E30" i="2"/>
  <c r="J30" i="2" s="1"/>
  <c r="K30" i="2"/>
  <c r="B53" i="2"/>
  <c r="G53" i="2"/>
  <c r="H53" i="2" s="1"/>
  <c r="I53" i="2" s="1"/>
  <c r="G20" i="2"/>
  <c r="H20" i="2" s="1"/>
  <c r="I20" i="2" s="1"/>
  <c r="G30" i="2"/>
  <c r="H30" i="2" s="1"/>
  <c r="I30" i="2" s="1"/>
  <c r="K34" i="2"/>
  <c r="B94" i="2"/>
  <c r="B99" i="2"/>
  <c r="G129" i="2"/>
  <c r="H129" i="2" s="1"/>
  <c r="I129" i="2" s="1"/>
  <c r="C129" i="2"/>
  <c r="B134" i="2"/>
  <c r="K200" i="2"/>
  <c r="B200" i="2"/>
  <c r="B238" i="2"/>
  <c r="K267" i="2"/>
  <c r="F267" i="2"/>
  <c r="C267" i="2"/>
  <c r="K351" i="2"/>
  <c r="G351" i="2"/>
  <c r="H351" i="2" s="1"/>
  <c r="I351" i="2" s="1"/>
  <c r="C351" i="2"/>
  <c r="B351" i="2"/>
  <c r="F20" i="2"/>
  <c r="F34" i="2"/>
  <c r="F6" i="2"/>
  <c r="G6" i="2"/>
  <c r="H6" i="2" s="1"/>
  <c r="I6" i="2" s="1"/>
  <c r="E6" i="2"/>
  <c r="J6" i="2" s="1"/>
  <c r="B6" i="2"/>
  <c r="E26" i="2"/>
  <c r="J26" i="2" s="1"/>
  <c r="K58" i="2"/>
  <c r="K78" i="2"/>
  <c r="E89" i="2"/>
  <c r="J89" i="2" s="1"/>
  <c r="C94" i="2"/>
  <c r="C99" i="2"/>
  <c r="F118" i="2"/>
  <c r="B129" i="2"/>
  <c r="C134" i="2"/>
  <c r="C140" i="2"/>
  <c r="G184" i="2"/>
  <c r="H184" i="2" s="1"/>
  <c r="I184" i="2" s="1"/>
  <c r="C200" i="2"/>
  <c r="K238" i="2"/>
  <c r="B267" i="2"/>
  <c r="E351" i="2"/>
  <c r="J351" i="2" s="1"/>
  <c r="K252" i="2"/>
  <c r="E252" i="2"/>
  <c r="J252" i="2" s="1"/>
  <c r="G252" i="2"/>
  <c r="H252" i="2" s="1"/>
  <c r="I252" i="2" s="1"/>
  <c r="C100" i="2"/>
  <c r="B100" i="2"/>
  <c r="B151" i="2"/>
  <c r="B167" i="2"/>
  <c r="B254" i="2"/>
  <c r="K10" i="2"/>
  <c r="G10" i="2"/>
  <c r="H10" i="2" s="1"/>
  <c r="I10" i="2" s="1"/>
  <c r="F10" i="2"/>
  <c r="E10" i="2"/>
  <c r="J10" i="2" s="1"/>
  <c r="C10" i="2"/>
  <c r="B10" i="2"/>
  <c r="G25" i="2"/>
  <c r="H25" i="2" s="1"/>
  <c r="I25" i="2" s="1"/>
  <c r="F25" i="2"/>
  <c r="E25" i="2"/>
  <c r="J25" i="2" s="1"/>
  <c r="F139" i="2"/>
  <c r="B139" i="2"/>
  <c r="C145" i="2"/>
  <c r="B145" i="2"/>
  <c r="K145" i="2"/>
  <c r="F145" i="2"/>
  <c r="E145" i="2"/>
  <c r="J145" i="2" s="1"/>
  <c r="B25" i="2"/>
  <c r="F48" i="2"/>
  <c r="K48" i="2"/>
  <c r="E48" i="2"/>
  <c r="J48" i="2" s="1"/>
  <c r="G48" i="2"/>
  <c r="H48" i="2" s="1"/>
  <c r="I48" i="2" s="1"/>
  <c r="C48" i="2"/>
  <c r="G128" i="2"/>
  <c r="H128" i="2" s="1"/>
  <c r="I128" i="2" s="1"/>
  <c r="F128" i="2"/>
  <c r="E128" i="2"/>
  <c r="J128" i="2" s="1"/>
  <c r="C128" i="2"/>
  <c r="K171" i="2"/>
  <c r="E171" i="2"/>
  <c r="J171" i="2" s="1"/>
  <c r="C171" i="2"/>
  <c r="B252" i="2"/>
  <c r="G79" i="2"/>
  <c r="H79" i="2" s="1"/>
  <c r="I79" i="2" s="1"/>
  <c r="F79" i="2"/>
  <c r="E79" i="2"/>
  <c r="J79" i="2" s="1"/>
  <c r="C79" i="2"/>
  <c r="K53" i="2"/>
  <c r="B79" i="2"/>
  <c r="F94" i="2"/>
  <c r="G69" i="2"/>
  <c r="H69" i="2" s="1"/>
  <c r="I69" i="2" s="1"/>
  <c r="F69" i="2"/>
  <c r="E69" i="2"/>
  <c r="J69" i="2" s="1"/>
  <c r="K69" i="2"/>
  <c r="K196" i="2"/>
  <c r="E196" i="2"/>
  <c r="J196" i="2" s="1"/>
  <c r="G240" i="2"/>
  <c r="H240" i="2" s="1"/>
  <c r="I240" i="2" s="1"/>
  <c r="F240" i="2"/>
  <c r="E240" i="2"/>
  <c r="J240" i="2" s="1"/>
  <c r="C240" i="2"/>
  <c r="K240" i="2"/>
  <c r="B240" i="2"/>
  <c r="B7" i="2"/>
  <c r="B69" i="2"/>
  <c r="E90" i="2"/>
  <c r="J90" i="2" s="1"/>
  <c r="K90" i="2"/>
  <c r="E105" i="2"/>
  <c r="J105" i="2" s="1"/>
  <c r="G105" i="2"/>
  <c r="H105" i="2" s="1"/>
  <c r="I105" i="2" s="1"/>
  <c r="C105" i="2"/>
  <c r="F105" i="2"/>
  <c r="K105" i="2"/>
  <c r="K140" i="2"/>
  <c r="E151" i="2"/>
  <c r="J151" i="2" s="1"/>
  <c r="F156" i="2"/>
  <c r="G186" i="2"/>
  <c r="H186" i="2" s="1"/>
  <c r="I186" i="2" s="1"/>
  <c r="F186" i="2"/>
  <c r="E186" i="2"/>
  <c r="J186" i="2" s="1"/>
  <c r="C186" i="2"/>
  <c r="B186" i="2"/>
  <c r="B196" i="2"/>
  <c r="E214" i="2"/>
  <c r="J214" i="2" s="1"/>
  <c r="K214" i="2"/>
  <c r="G214" i="2"/>
  <c r="H214" i="2" s="1"/>
  <c r="I214" i="2" s="1"/>
  <c r="F214" i="2"/>
  <c r="C214" i="2"/>
  <c r="K221" i="2"/>
  <c r="B221" i="2"/>
  <c r="E221" i="2"/>
  <c r="J221" i="2" s="1"/>
  <c r="E254" i="2"/>
  <c r="J254" i="2" s="1"/>
  <c r="G93" i="2"/>
  <c r="H93" i="2" s="1"/>
  <c r="I93" i="2" s="1"/>
  <c r="E93" i="2"/>
  <c r="J93" i="2" s="1"/>
  <c r="F93" i="2"/>
  <c r="K264" i="2"/>
  <c r="C264" i="2"/>
  <c r="B264" i="2"/>
  <c r="G264" i="2"/>
  <c r="H264" i="2" s="1"/>
  <c r="I264" i="2" s="1"/>
  <c r="F264" i="2"/>
  <c r="K167" i="2"/>
  <c r="F167" i="2"/>
  <c r="E167" i="2"/>
  <c r="J167" i="2" s="1"/>
  <c r="K6" i="2"/>
  <c r="K54" i="2"/>
  <c r="E54" i="2"/>
  <c r="J54" i="2" s="1"/>
  <c r="C54" i="2"/>
  <c r="E100" i="2"/>
  <c r="J100" i="2" s="1"/>
  <c r="E119" i="2"/>
  <c r="J119" i="2" s="1"/>
  <c r="K119" i="2"/>
  <c r="G119" i="2"/>
  <c r="H119" i="2" s="1"/>
  <c r="I119" i="2" s="1"/>
  <c r="F119" i="2"/>
  <c r="C151" i="2"/>
  <c r="C254" i="2"/>
  <c r="B54" i="2"/>
  <c r="K79" i="2"/>
  <c r="F100" i="2"/>
  <c r="G167" i="2"/>
  <c r="H167" i="2" s="1"/>
  <c r="I167" i="2" s="1"/>
  <c r="C7" i="2"/>
  <c r="C12" i="2"/>
  <c r="B12" i="2"/>
  <c r="F54" i="2"/>
  <c r="C69" i="2"/>
  <c r="E74" i="2"/>
  <c r="J74" i="2" s="1"/>
  <c r="K74" i="2"/>
  <c r="G74" i="2"/>
  <c r="H74" i="2" s="1"/>
  <c r="I74" i="2" s="1"/>
  <c r="F80" i="2"/>
  <c r="E80" i="2"/>
  <c r="J80" i="2" s="1"/>
  <c r="B80" i="2"/>
  <c r="C80" i="2"/>
  <c r="B90" i="2"/>
  <c r="G100" i="2"/>
  <c r="H100" i="2" s="1"/>
  <c r="I100" i="2" s="1"/>
  <c r="B105" i="2"/>
  <c r="C119" i="2"/>
  <c r="K129" i="2"/>
  <c r="G141" i="2"/>
  <c r="H141" i="2" s="1"/>
  <c r="I141" i="2" s="1"/>
  <c r="F141" i="2"/>
  <c r="E141" i="2"/>
  <c r="J141" i="2" s="1"/>
  <c r="C141" i="2"/>
  <c r="B141" i="2"/>
  <c r="F151" i="2"/>
  <c r="G156" i="2"/>
  <c r="H156" i="2" s="1"/>
  <c r="I156" i="2" s="1"/>
  <c r="K186" i="2"/>
  <c r="C196" i="2"/>
  <c r="B214" i="2"/>
  <c r="C221" i="2"/>
  <c r="F254" i="2"/>
  <c r="B259" i="2"/>
  <c r="C259" i="2"/>
  <c r="K259" i="2"/>
  <c r="F259" i="2"/>
  <c r="E259" i="2"/>
  <c r="J259" i="2" s="1"/>
  <c r="E7" i="2"/>
  <c r="J7" i="2" s="1"/>
  <c r="G54" i="2"/>
  <c r="H54" i="2" s="1"/>
  <c r="I54" i="2" s="1"/>
  <c r="G60" i="2"/>
  <c r="H60" i="2" s="1"/>
  <c r="I60" i="2" s="1"/>
  <c r="F60" i="2"/>
  <c r="E60" i="2"/>
  <c r="J60" i="2" s="1"/>
  <c r="C60" i="2"/>
  <c r="B60" i="2"/>
  <c r="K130" i="2"/>
  <c r="F130" i="2"/>
  <c r="E130" i="2"/>
  <c r="J130" i="2" s="1"/>
  <c r="G151" i="2"/>
  <c r="H151" i="2" s="1"/>
  <c r="I151" i="2" s="1"/>
  <c r="K187" i="2"/>
  <c r="B187" i="2"/>
  <c r="F196" i="2"/>
  <c r="B227" i="2"/>
  <c r="G227" i="2"/>
  <c r="H227" i="2" s="1"/>
  <c r="I227" i="2" s="1"/>
  <c r="F227" i="2"/>
  <c r="K227" i="2"/>
  <c r="G254" i="2"/>
  <c r="H254" i="2" s="1"/>
  <c r="I254" i="2" s="1"/>
  <c r="G259" i="2"/>
  <c r="H259" i="2" s="1"/>
  <c r="I259" i="2" s="1"/>
  <c r="K155" i="2"/>
  <c r="G155" i="2"/>
  <c r="H155" i="2" s="1"/>
  <c r="I155" i="2" s="1"/>
  <c r="K173" i="2"/>
  <c r="G173" i="2"/>
  <c r="H173" i="2" s="1"/>
  <c r="I173" i="2" s="1"/>
  <c r="F173" i="2"/>
  <c r="G251" i="2"/>
  <c r="H251" i="2" s="1"/>
  <c r="I251" i="2" s="1"/>
  <c r="F251" i="2"/>
  <c r="E251" i="2"/>
  <c r="J251" i="2" s="1"/>
  <c r="C251" i="2"/>
  <c r="B251" i="2"/>
  <c r="K290" i="2"/>
  <c r="F290" i="2"/>
  <c r="E290" i="2"/>
  <c r="J290" i="2" s="1"/>
  <c r="B211" i="2"/>
  <c r="G211" i="2"/>
  <c r="H211" i="2" s="1"/>
  <c r="I211" i="2" s="1"/>
  <c r="G273" i="2"/>
  <c r="H273" i="2" s="1"/>
  <c r="I273" i="2" s="1"/>
  <c r="F273" i="2"/>
  <c r="B290" i="2"/>
  <c r="K246" i="2"/>
  <c r="C273" i="2"/>
  <c r="G290" i="2"/>
  <c r="H290" i="2" s="1"/>
  <c r="I290" i="2" s="1"/>
  <c r="K325" i="2"/>
  <c r="F325" i="2"/>
  <c r="E325" i="2"/>
  <c r="J325" i="2" s="1"/>
  <c r="F211" i="2"/>
  <c r="B237" i="2"/>
  <c r="G247" i="2"/>
  <c r="H247" i="2" s="1"/>
  <c r="I247" i="2" s="1"/>
  <c r="F247" i="2"/>
  <c r="B247" i="2"/>
  <c r="E273" i="2"/>
  <c r="J273" i="2" s="1"/>
  <c r="B325" i="2"/>
  <c r="B339" i="2"/>
  <c r="C339" i="2"/>
  <c r="F339" i="2"/>
  <c r="E339" i="2"/>
  <c r="J339" i="2" s="1"/>
  <c r="K359" i="2"/>
  <c r="B359" i="2"/>
  <c r="K211" i="2"/>
  <c r="G217" i="2"/>
  <c r="H217" i="2" s="1"/>
  <c r="I217" i="2" s="1"/>
  <c r="K217" i="2"/>
  <c r="F217" i="2"/>
  <c r="E237" i="2"/>
  <c r="J237" i="2" s="1"/>
  <c r="K273" i="2"/>
  <c r="K346" i="2"/>
  <c r="G346" i="2"/>
  <c r="H346" i="2" s="1"/>
  <c r="I346" i="2" s="1"/>
  <c r="F346" i="2"/>
  <c r="E346" i="2"/>
  <c r="J346" i="2" s="1"/>
  <c r="C346" i="2"/>
  <c r="C359" i="2"/>
  <c r="E161" i="2"/>
  <c r="J161" i="2" s="1"/>
  <c r="K161" i="2"/>
  <c r="G161" i="2"/>
  <c r="H161" i="2" s="1"/>
  <c r="I161" i="2" s="1"/>
  <c r="G31" i="2"/>
  <c r="H31" i="2" s="1"/>
  <c r="I31" i="2" s="1"/>
  <c r="C31" i="2"/>
  <c r="F31" i="2"/>
  <c r="E31" i="2"/>
  <c r="J31" i="2" s="1"/>
  <c r="B35" i="2"/>
  <c r="B114" i="2"/>
  <c r="B161" i="2"/>
  <c r="C202" i="2"/>
  <c r="B202" i="2"/>
  <c r="G202" i="2"/>
  <c r="H202" i="2" s="1"/>
  <c r="I202" i="2" s="1"/>
  <c r="B207" i="2"/>
  <c r="B217" i="2"/>
  <c r="E232" i="2"/>
  <c r="J232" i="2" s="1"/>
  <c r="G274" i="2"/>
  <c r="H274" i="2" s="1"/>
  <c r="I274" i="2" s="1"/>
  <c r="C274" i="2"/>
  <c r="B274" i="2"/>
  <c r="K319" i="2"/>
  <c r="E319" i="2"/>
  <c r="J319" i="2" s="1"/>
  <c r="K339" i="2"/>
  <c r="B346" i="2"/>
  <c r="E359" i="2"/>
  <c r="J359" i="2" s="1"/>
  <c r="K366" i="2"/>
  <c r="B366" i="2"/>
  <c r="G366" i="2"/>
  <c r="H366" i="2" s="1"/>
  <c r="I366" i="2" s="1"/>
  <c r="F366" i="2"/>
  <c r="E366" i="2"/>
  <c r="J366" i="2" s="1"/>
  <c r="C366" i="2"/>
  <c r="F123" i="2"/>
  <c r="G123" i="2"/>
  <c r="H123" i="2" s="1"/>
  <c r="I123" i="2" s="1"/>
  <c r="C213" i="2"/>
  <c r="B213" i="2"/>
  <c r="K213" i="2"/>
  <c r="G213" i="2"/>
  <c r="H213" i="2" s="1"/>
  <c r="I213" i="2" s="1"/>
  <c r="F213" i="2"/>
  <c r="K239" i="2"/>
  <c r="G239" i="2"/>
  <c r="H239" i="2" s="1"/>
  <c r="I239" i="2" s="1"/>
  <c r="F239" i="2"/>
  <c r="E239" i="2"/>
  <c r="J239" i="2" s="1"/>
  <c r="G327" i="2"/>
  <c r="H327" i="2" s="1"/>
  <c r="I327" i="2" s="1"/>
  <c r="F327" i="2"/>
  <c r="E327" i="2"/>
  <c r="J327" i="2" s="1"/>
  <c r="K327" i="2"/>
  <c r="C327" i="2"/>
  <c r="B327" i="2"/>
  <c r="B36" i="2"/>
  <c r="B67" i="2"/>
  <c r="B115" i="2"/>
  <c r="G115" i="2"/>
  <c r="H115" i="2" s="1"/>
  <c r="I115" i="2" s="1"/>
  <c r="K115" i="2"/>
  <c r="B123" i="2"/>
  <c r="C136" i="2"/>
  <c r="B194" i="2"/>
  <c r="E213" i="2"/>
  <c r="J213" i="2" s="1"/>
  <c r="B219" i="2"/>
  <c r="G228" i="2"/>
  <c r="H228" i="2" s="1"/>
  <c r="I228" i="2" s="1"/>
  <c r="E228" i="2"/>
  <c r="J228" i="2" s="1"/>
  <c r="B239" i="2"/>
  <c r="G293" i="2"/>
  <c r="H293" i="2" s="1"/>
  <c r="I293" i="2" s="1"/>
  <c r="F293" i="2"/>
  <c r="E293" i="2"/>
  <c r="J293" i="2" s="1"/>
  <c r="K328" i="2"/>
  <c r="G328" i="2"/>
  <c r="H328" i="2" s="1"/>
  <c r="I328" i="2" s="1"/>
  <c r="F328" i="2"/>
  <c r="E328" i="2"/>
  <c r="J328" i="2" s="1"/>
  <c r="C328" i="2"/>
  <c r="F219" i="2"/>
  <c r="F228" i="2"/>
  <c r="K234" i="2"/>
  <c r="C234" i="2"/>
  <c r="G234" i="2"/>
  <c r="H234" i="2" s="1"/>
  <c r="I234" i="2" s="1"/>
  <c r="F234" i="2"/>
  <c r="K287" i="2"/>
  <c r="C287" i="2"/>
  <c r="C293" i="2"/>
  <c r="G299" i="2"/>
  <c r="H299" i="2" s="1"/>
  <c r="I299" i="2" s="1"/>
  <c r="K299" i="2"/>
  <c r="F299" i="2"/>
  <c r="E299" i="2"/>
  <c r="J299" i="2" s="1"/>
  <c r="C299" i="2"/>
  <c r="B299" i="2"/>
  <c r="B307" i="2"/>
  <c r="K307" i="2"/>
  <c r="G307" i="2"/>
  <c r="H307" i="2" s="1"/>
  <c r="I307" i="2" s="1"/>
  <c r="E307" i="2"/>
  <c r="J307" i="2" s="1"/>
  <c r="E342" i="2"/>
  <c r="J342" i="2" s="1"/>
  <c r="G342" i="2"/>
  <c r="H342" i="2" s="1"/>
  <c r="I342" i="2" s="1"/>
  <c r="K342" i="2"/>
  <c r="B342" i="2"/>
  <c r="K228" i="2"/>
  <c r="F287" i="2"/>
  <c r="K293" i="2"/>
  <c r="G308" i="2"/>
  <c r="H308" i="2" s="1"/>
  <c r="I308" i="2" s="1"/>
  <c r="F308" i="2"/>
  <c r="E308" i="2"/>
  <c r="J308" i="2" s="1"/>
  <c r="C308" i="2"/>
  <c r="K308" i="2"/>
  <c r="B308" i="2"/>
  <c r="C342" i="2"/>
  <c r="F87" i="2"/>
  <c r="B87" i="2"/>
  <c r="G87" i="2"/>
  <c r="H87" i="2" s="1"/>
  <c r="I87" i="2" s="1"/>
  <c r="E87" i="2"/>
  <c r="J87" i="2" s="1"/>
  <c r="C87" i="2"/>
  <c r="G181" i="2"/>
  <c r="H181" i="2" s="1"/>
  <c r="I181" i="2" s="1"/>
  <c r="F181" i="2"/>
  <c r="E181" i="2"/>
  <c r="J181" i="2" s="1"/>
  <c r="B29" i="2"/>
  <c r="B64" i="2"/>
  <c r="C124" i="2"/>
  <c r="F172" i="2"/>
  <c r="E172" i="2"/>
  <c r="J172" i="2" s="1"/>
  <c r="B172" i="2"/>
  <c r="B181" i="2"/>
  <c r="E209" i="2"/>
  <c r="J209" i="2" s="1"/>
  <c r="K209" i="2"/>
  <c r="G209" i="2"/>
  <c r="H209" i="2" s="1"/>
  <c r="I209" i="2" s="1"/>
  <c r="F209" i="2"/>
  <c r="C209" i="2"/>
  <c r="C29" i="2"/>
  <c r="K36" i="2"/>
  <c r="C64" i="2"/>
  <c r="E124" i="2"/>
  <c r="J124" i="2" s="1"/>
  <c r="K136" i="2"/>
  <c r="C172" i="2"/>
  <c r="C181" i="2"/>
  <c r="B209" i="2"/>
  <c r="E29" i="2"/>
  <c r="J29" i="2" s="1"/>
  <c r="E64" i="2"/>
  <c r="J64" i="2" s="1"/>
  <c r="K87" i="2"/>
  <c r="F124" i="2"/>
  <c r="K159" i="2"/>
  <c r="C159" i="2"/>
  <c r="B159" i="2"/>
  <c r="G159" i="2"/>
  <c r="H159" i="2" s="1"/>
  <c r="I159" i="2" s="1"/>
  <c r="F159" i="2"/>
  <c r="B168" i="2"/>
  <c r="G172" i="2"/>
  <c r="H172" i="2" s="1"/>
  <c r="I172" i="2" s="1"/>
  <c r="F177" i="2"/>
  <c r="E177" i="2"/>
  <c r="J177" i="2" s="1"/>
  <c r="K177" i="2"/>
  <c r="K181" i="2"/>
  <c r="E204" i="2"/>
  <c r="J204" i="2" s="1"/>
  <c r="C204" i="2"/>
  <c r="K204" i="2"/>
  <c r="B204" i="2"/>
  <c r="G229" i="2"/>
  <c r="H229" i="2" s="1"/>
  <c r="I229" i="2" s="1"/>
  <c r="F229" i="2"/>
  <c r="E229" i="2"/>
  <c r="J229" i="2" s="1"/>
  <c r="C229" i="2"/>
  <c r="G287" i="2"/>
  <c r="H287" i="2" s="1"/>
  <c r="I287" i="2" s="1"/>
  <c r="F309" i="2"/>
  <c r="K309" i="2"/>
  <c r="E309" i="2"/>
  <c r="J309" i="2" s="1"/>
  <c r="F342" i="2"/>
  <c r="E14" i="2"/>
  <c r="J14" i="2" s="1"/>
  <c r="G14" i="2"/>
  <c r="H14" i="2" s="1"/>
  <c r="I14" i="2" s="1"/>
  <c r="F14" i="2"/>
  <c r="C14" i="2"/>
  <c r="K40" i="2"/>
  <c r="K95" i="2"/>
  <c r="G124" i="2"/>
  <c r="H124" i="2" s="1"/>
  <c r="I124" i="2" s="1"/>
  <c r="F220" i="2"/>
  <c r="E220" i="2"/>
  <c r="J220" i="2" s="1"/>
  <c r="G241" i="2"/>
  <c r="H241" i="2" s="1"/>
  <c r="I241" i="2" s="1"/>
  <c r="K241" i="2"/>
  <c r="K256" i="2"/>
  <c r="G256" i="2"/>
  <c r="H256" i="2" s="1"/>
  <c r="I256" i="2" s="1"/>
  <c r="E256" i="2"/>
  <c r="J256" i="2" s="1"/>
  <c r="K277" i="2"/>
  <c r="F277" i="2"/>
  <c r="E277" i="2"/>
  <c r="J277" i="2" s="1"/>
  <c r="C277" i="2"/>
  <c r="B277" i="2"/>
  <c r="E302" i="2"/>
  <c r="J302" i="2" s="1"/>
  <c r="C302" i="2"/>
  <c r="K343" i="2"/>
  <c r="G343" i="2"/>
  <c r="H343" i="2" s="1"/>
  <c r="I343" i="2" s="1"/>
  <c r="E343" i="2"/>
  <c r="J343" i="2" s="1"/>
  <c r="F343" i="2"/>
  <c r="C343" i="2"/>
  <c r="C279" i="2"/>
  <c r="B279" i="2"/>
  <c r="F352" i="2"/>
  <c r="C352" i="2"/>
  <c r="B352" i="2"/>
  <c r="G185" i="2"/>
  <c r="H185" i="2" s="1"/>
  <c r="I185" i="2" s="1"/>
  <c r="E185" i="2"/>
  <c r="J185" i="2" s="1"/>
  <c r="F248" i="2"/>
  <c r="E248" i="2"/>
  <c r="J248" i="2" s="1"/>
  <c r="C248" i="2"/>
  <c r="B248" i="2"/>
  <c r="F253" i="2"/>
  <c r="E253" i="2"/>
  <c r="J253" i="2" s="1"/>
  <c r="G261" i="2"/>
  <c r="H261" i="2" s="1"/>
  <c r="I261" i="2" s="1"/>
  <c r="F261" i="2"/>
  <c r="E261" i="2"/>
  <c r="J261" i="2" s="1"/>
  <c r="B275" i="2"/>
  <c r="C275" i="2"/>
  <c r="G317" i="2"/>
  <c r="H317" i="2" s="1"/>
  <c r="I317" i="2" s="1"/>
  <c r="F317" i="2"/>
  <c r="B185" i="2"/>
  <c r="G193" i="2"/>
  <c r="H193" i="2" s="1"/>
  <c r="I193" i="2" s="1"/>
  <c r="F193" i="2"/>
  <c r="G205" i="2"/>
  <c r="H205" i="2" s="1"/>
  <c r="I205" i="2" s="1"/>
  <c r="F205" i="2"/>
  <c r="C205" i="2"/>
  <c r="F266" i="2"/>
  <c r="E266" i="2"/>
  <c r="J266" i="2" s="1"/>
  <c r="C266" i="2"/>
  <c r="B266" i="2"/>
  <c r="E275" i="2"/>
  <c r="J275" i="2" s="1"/>
  <c r="G284" i="2"/>
  <c r="H284" i="2" s="1"/>
  <c r="I284" i="2" s="1"/>
  <c r="F284" i="2"/>
  <c r="E284" i="2"/>
  <c r="J284" i="2" s="1"/>
  <c r="K284" i="2"/>
  <c r="C284" i="2"/>
  <c r="B317" i="2"/>
  <c r="B323" i="2"/>
  <c r="G323" i="2"/>
  <c r="H323" i="2" s="1"/>
  <c r="I323" i="2" s="1"/>
  <c r="G329" i="2"/>
  <c r="H329" i="2" s="1"/>
  <c r="I329" i="2" s="1"/>
  <c r="C329" i="2"/>
  <c r="C185" i="2"/>
  <c r="B193" i="2"/>
  <c r="G201" i="2"/>
  <c r="H201" i="2" s="1"/>
  <c r="I201" i="2" s="1"/>
  <c r="K201" i="2"/>
  <c r="C253" i="2"/>
  <c r="C261" i="2"/>
  <c r="G266" i="2"/>
  <c r="H266" i="2" s="1"/>
  <c r="I266" i="2" s="1"/>
  <c r="F275" i="2"/>
  <c r="B284" i="2"/>
  <c r="C317" i="2"/>
  <c r="C323" i="2"/>
  <c r="B329" i="2"/>
  <c r="K352" i="2"/>
  <c r="B127" i="2"/>
  <c r="B38" i="2"/>
  <c r="C45" i="2"/>
  <c r="B59" i="2"/>
  <c r="B98" i="2"/>
  <c r="C127" i="2"/>
  <c r="E150" i="2"/>
  <c r="J150" i="2" s="1"/>
  <c r="G150" i="2"/>
  <c r="H150" i="2" s="1"/>
  <c r="I150" i="2" s="1"/>
  <c r="F185" i="2"/>
  <c r="C193" i="2"/>
  <c r="B201" i="2"/>
  <c r="E205" i="2"/>
  <c r="J205" i="2" s="1"/>
  <c r="B226" i="2"/>
  <c r="G253" i="2"/>
  <c r="H253" i="2" s="1"/>
  <c r="I253" i="2" s="1"/>
  <c r="G275" i="2"/>
  <c r="H275" i="2" s="1"/>
  <c r="I275" i="2" s="1"/>
  <c r="K279" i="2"/>
  <c r="G312" i="2"/>
  <c r="H312" i="2" s="1"/>
  <c r="I312" i="2" s="1"/>
  <c r="F312" i="2"/>
  <c r="E312" i="2"/>
  <c r="J312" i="2" s="1"/>
  <c r="C312" i="2"/>
  <c r="B312" i="2"/>
  <c r="E317" i="2"/>
  <c r="J317" i="2" s="1"/>
  <c r="E323" i="2"/>
  <c r="J323" i="2" s="1"/>
  <c r="E329" i="2"/>
  <c r="J329" i="2" s="1"/>
  <c r="B205" i="2"/>
  <c r="B21" i="2"/>
  <c r="C21" i="2"/>
  <c r="C38" i="2"/>
  <c r="E45" i="2"/>
  <c r="J45" i="2" s="1"/>
  <c r="B52" i="2"/>
  <c r="C59" i="2"/>
  <c r="B66" i="2"/>
  <c r="C98" i="2"/>
  <c r="E127" i="2"/>
  <c r="J127" i="2" s="1"/>
  <c r="B150" i="2"/>
  <c r="E193" i="2"/>
  <c r="J193" i="2" s="1"/>
  <c r="C201" i="2"/>
  <c r="C226" i="2"/>
  <c r="B295" i="2"/>
  <c r="K312" i="2"/>
  <c r="K317" i="2"/>
  <c r="F323" i="2"/>
  <c r="F329" i="2"/>
  <c r="E38" i="2"/>
  <c r="J38" i="2" s="1"/>
  <c r="F45" i="2"/>
  <c r="E98" i="2"/>
  <c r="J98" i="2" s="1"/>
  <c r="F127" i="2"/>
  <c r="C150" i="2"/>
  <c r="G162" i="2"/>
  <c r="H162" i="2" s="1"/>
  <c r="I162" i="2" s="1"/>
  <c r="F162" i="2"/>
  <c r="C162" i="2"/>
  <c r="K185" i="2"/>
  <c r="E201" i="2"/>
  <c r="J201" i="2" s="1"/>
  <c r="F218" i="2"/>
  <c r="K218" i="2"/>
  <c r="E226" i="2"/>
  <c r="J226" i="2" s="1"/>
  <c r="K248" i="2"/>
  <c r="K261" i="2"/>
  <c r="K275" i="2"/>
  <c r="C295" i="2"/>
  <c r="K306" i="2"/>
  <c r="B306" i="2"/>
  <c r="F306" i="2"/>
  <c r="E306" i="2"/>
  <c r="J306" i="2" s="1"/>
  <c r="G313" i="2"/>
  <c r="H313" i="2" s="1"/>
  <c r="I313" i="2" s="1"/>
  <c r="K313" i="2"/>
  <c r="F318" i="2"/>
  <c r="E318" i="2"/>
  <c r="J318" i="2" s="1"/>
  <c r="C318" i="2"/>
  <c r="K330" i="2"/>
  <c r="E330" i="2"/>
  <c r="J330" i="2" s="1"/>
  <c r="B330" i="2"/>
  <c r="K271" i="2"/>
  <c r="G271" i="2"/>
  <c r="H271" i="2" s="1"/>
  <c r="I271" i="2" s="1"/>
  <c r="F271" i="2"/>
  <c r="E271" i="2"/>
  <c r="J271" i="2" s="1"/>
  <c r="C271" i="2"/>
  <c r="B286" i="2"/>
  <c r="G314" i="2"/>
  <c r="H314" i="2" s="1"/>
  <c r="I314" i="2" s="1"/>
  <c r="F314" i="2"/>
  <c r="E314" i="2"/>
  <c r="J314" i="2" s="1"/>
  <c r="C314" i="2"/>
  <c r="B314" i="2"/>
  <c r="B322" i="2"/>
  <c r="C330" i="2"/>
  <c r="G347" i="2"/>
  <c r="H347" i="2" s="1"/>
  <c r="I347" i="2" s="1"/>
  <c r="F347" i="2"/>
  <c r="E347" i="2"/>
  <c r="J347" i="2" s="1"/>
  <c r="C347" i="2"/>
  <c r="B347" i="2"/>
  <c r="B369" i="2"/>
  <c r="E310" i="2"/>
  <c r="J310" i="2" s="1"/>
  <c r="K310" i="2"/>
  <c r="C310" i="2"/>
  <c r="C322" i="2"/>
  <c r="F330" i="2"/>
  <c r="G360" i="2"/>
  <c r="H360" i="2" s="1"/>
  <c r="I360" i="2" s="1"/>
  <c r="F360" i="2"/>
  <c r="B360" i="2"/>
  <c r="C369" i="2"/>
  <c r="B10" i="3"/>
  <c r="K9" i="3"/>
  <c r="J9" i="3"/>
  <c r="I9" i="3"/>
  <c r="D9" i="3"/>
  <c r="C360" i="2"/>
  <c r="B365" i="2"/>
  <c r="E369" i="2"/>
  <c r="J369" i="2" s="1"/>
  <c r="C9" i="3"/>
  <c r="F260" i="2"/>
  <c r="E294" i="2"/>
  <c r="J294" i="2" s="1"/>
  <c r="G294" i="2"/>
  <c r="H294" i="2" s="1"/>
  <c r="I294" i="2" s="1"/>
  <c r="F294" i="2"/>
  <c r="C294" i="2"/>
  <c r="G310" i="2"/>
  <c r="H310" i="2" s="1"/>
  <c r="I310" i="2" s="1"/>
  <c r="K314" i="2"/>
  <c r="G326" i="2"/>
  <c r="H326" i="2" s="1"/>
  <c r="I326" i="2" s="1"/>
  <c r="K347" i="2"/>
  <c r="C356" i="2"/>
  <c r="K360" i="2"/>
  <c r="E365" i="2"/>
  <c r="J365" i="2" s="1"/>
  <c r="F9" i="3"/>
  <c r="C131" i="2"/>
  <c r="G152" i="2"/>
  <c r="H152" i="2" s="1"/>
  <c r="I152" i="2" s="1"/>
  <c r="E152" i="2"/>
  <c r="J152" i="2" s="1"/>
  <c r="C163" i="2"/>
  <c r="B195" i="2"/>
  <c r="G195" i="2"/>
  <c r="H195" i="2" s="1"/>
  <c r="I195" i="2" s="1"/>
  <c r="E195" i="2"/>
  <c r="J195" i="2" s="1"/>
  <c r="B231" i="2"/>
  <c r="B294" i="2"/>
  <c r="B335" i="2"/>
  <c r="E356" i="2"/>
  <c r="J356" i="2" s="1"/>
  <c r="G361" i="2"/>
  <c r="H361" i="2" s="1"/>
  <c r="I361" i="2" s="1"/>
  <c r="F361" i="2"/>
  <c r="C361" i="2"/>
  <c r="G9" i="3"/>
  <c r="K353" i="2"/>
  <c r="F353" i="2"/>
  <c r="C353" i="2"/>
  <c r="B336" i="2"/>
  <c r="B353" i="2"/>
  <c r="B362" i="2"/>
  <c r="K349" i="2"/>
  <c r="B349" i="2"/>
  <c r="E332" i="2"/>
  <c r="J332" i="2" s="1"/>
  <c r="F336" i="2"/>
  <c r="E349" i="2"/>
  <c r="J349" i="2" s="1"/>
  <c r="F362" i="2"/>
  <c r="F332" i="2"/>
  <c r="G336" i="2"/>
  <c r="H336" i="2" s="1"/>
  <c r="I336" i="2" s="1"/>
  <c r="F349" i="2"/>
  <c r="G362" i="2"/>
  <c r="H362" i="2" s="1"/>
  <c r="I362" i="2" s="1"/>
  <c r="B292" i="2"/>
  <c r="G349" i="2"/>
  <c r="H349" i="2" s="1"/>
  <c r="I349" i="2" s="1"/>
  <c r="C292" i="2"/>
  <c r="B296" i="2"/>
  <c r="K300" i="2"/>
  <c r="E300" i="2"/>
  <c r="J300" i="2" s="1"/>
  <c r="G304" i="2"/>
  <c r="H304" i="2" s="1"/>
  <c r="I304" i="2" s="1"/>
  <c r="F304" i="2"/>
  <c r="E304" i="2"/>
  <c r="J304" i="2" s="1"/>
  <c r="C304" i="2"/>
  <c r="E341" i="2"/>
  <c r="J341" i="2" s="1"/>
  <c r="E345" i="2"/>
  <c r="J345" i="2" s="1"/>
  <c r="K367" i="2"/>
  <c r="G367" i="2"/>
  <c r="H367" i="2" s="1"/>
  <c r="I367" i="2" s="1"/>
  <c r="F367" i="2"/>
  <c r="B367" i="2"/>
  <c r="E292" i="2"/>
  <c r="J292" i="2" s="1"/>
  <c r="E296" i="2"/>
  <c r="J296" i="2" s="1"/>
  <c r="B300" i="2"/>
  <c r="B304" i="2"/>
  <c r="K332" i="2"/>
  <c r="G337" i="2"/>
  <c r="H337" i="2" s="1"/>
  <c r="I337" i="2" s="1"/>
  <c r="F337" i="2"/>
  <c r="E337" i="2"/>
  <c r="J337" i="2" s="1"/>
  <c r="C337" i="2"/>
  <c r="F345" i="2"/>
  <c r="C367" i="2"/>
  <c r="F292" i="2"/>
  <c r="F296" i="2"/>
  <c r="K333" i="2"/>
  <c r="F333" i="2"/>
  <c r="K363" i="2"/>
  <c r="F363" i="2"/>
  <c r="F215" i="2"/>
  <c r="E215" i="2"/>
  <c r="J215" i="2" s="1"/>
  <c r="B215" i="2"/>
  <c r="B233" i="2"/>
  <c r="C244" i="2"/>
  <c r="G292" i="2"/>
  <c r="H292" i="2" s="1"/>
  <c r="I292" i="2" s="1"/>
  <c r="G296" i="2"/>
  <c r="H296" i="2" s="1"/>
  <c r="I296" i="2" s="1"/>
  <c r="F300" i="2"/>
  <c r="B333" i="2"/>
  <c r="G350" i="2"/>
  <c r="H350" i="2" s="1"/>
  <c r="I350" i="2" s="1"/>
  <c r="F350" i="2"/>
  <c r="B350" i="2"/>
  <c r="B363" i="2"/>
  <c r="G340" i="2"/>
  <c r="H340" i="2" s="1"/>
  <c r="I340" i="2" s="1"/>
  <c r="B281" i="2"/>
  <c r="B324" i="2"/>
  <c r="B357" i="2"/>
  <c r="C182" i="2"/>
  <c r="C192" i="2"/>
  <c r="C225" i="2"/>
  <c r="B235" i="2"/>
  <c r="C258" i="2"/>
  <c r="B268" i="2"/>
  <c r="E281" i="2"/>
  <c r="J281" i="2" s="1"/>
  <c r="E291" i="2"/>
  <c r="J291" i="2" s="1"/>
  <c r="K297" i="2"/>
  <c r="C301" i="2"/>
  <c r="B311" i="2"/>
  <c r="E324" i="2"/>
  <c r="J324" i="2" s="1"/>
  <c r="C334" i="2"/>
  <c r="B344" i="2"/>
  <c r="E357" i="2"/>
  <c r="J357" i="2" s="1"/>
  <c r="C364" i="2"/>
  <c r="F182" i="2"/>
  <c r="F281" i="2"/>
  <c r="F291" i="2"/>
  <c r="E364" i="2"/>
  <c r="J364" i="2" s="1"/>
  <c r="A7" i="3"/>
  <c r="C358" i="2"/>
  <c r="C7" i="3"/>
  <c r="C10" i="3" l="1"/>
  <c r="A10" i="3"/>
  <c r="B11" i="3"/>
  <c r="K10" i="3"/>
  <c r="I10" i="3"/>
  <c r="G10" i="3"/>
  <c r="E10" i="3"/>
  <c r="J10" i="3"/>
  <c r="H10" i="3"/>
  <c r="F10" i="3"/>
  <c r="D10" i="3"/>
  <c r="E11" i="3" l="1"/>
  <c r="D11" i="3"/>
  <c r="C11" i="3"/>
  <c r="A11" i="3"/>
  <c r="B12" i="3"/>
  <c r="K11" i="3"/>
  <c r="J11" i="3"/>
  <c r="I11" i="3"/>
  <c r="H11" i="3"/>
  <c r="G11" i="3"/>
  <c r="F11" i="3"/>
  <c r="B13" i="3" l="1"/>
  <c r="K12" i="3"/>
  <c r="J12" i="3"/>
  <c r="I12" i="3"/>
  <c r="H12" i="3"/>
  <c r="E12" i="3"/>
  <c r="D12" i="3"/>
  <c r="C12" i="3"/>
  <c r="A12" i="3"/>
  <c r="G12" i="3"/>
  <c r="F12" i="3"/>
  <c r="A13" i="3" l="1"/>
  <c r="D13" i="3"/>
  <c r="B14" i="3"/>
  <c r="K13" i="3"/>
  <c r="J13" i="3"/>
  <c r="I13" i="3"/>
  <c r="F13" i="3"/>
  <c r="E13" i="3"/>
  <c r="H13" i="3"/>
  <c r="G13" i="3"/>
  <c r="C13" i="3"/>
  <c r="J14" i="3" l="1"/>
  <c r="I14" i="3"/>
  <c r="H14" i="3"/>
  <c r="G14" i="3"/>
  <c r="F14" i="3"/>
  <c r="E14" i="3"/>
  <c r="C14" i="3"/>
  <c r="A14" i="3"/>
  <c r="B15" i="3"/>
  <c r="D14" i="3"/>
  <c r="K14" i="3"/>
  <c r="K15" i="3" l="1"/>
  <c r="J15" i="3"/>
  <c r="I15" i="3"/>
  <c r="H15" i="3"/>
  <c r="G15" i="3"/>
  <c r="A15" i="3"/>
  <c r="B16" i="3"/>
  <c r="F15" i="3"/>
  <c r="E15" i="3"/>
  <c r="D15" i="3"/>
  <c r="C15" i="3"/>
  <c r="A16" i="3" l="1"/>
  <c r="I16" i="3"/>
  <c r="F16" i="3"/>
  <c r="B17" i="3"/>
  <c r="K16" i="3"/>
  <c r="J16" i="3"/>
  <c r="H16" i="3"/>
  <c r="G16" i="3"/>
  <c r="E16" i="3"/>
  <c r="D16" i="3"/>
  <c r="C16" i="3"/>
  <c r="E17" i="3" l="1"/>
  <c r="B18" i="3"/>
  <c r="K17" i="3"/>
  <c r="J17" i="3"/>
  <c r="I17" i="3"/>
  <c r="G17" i="3"/>
  <c r="F17" i="3"/>
  <c r="H17" i="3"/>
  <c r="D17" i="3"/>
  <c r="C17" i="3"/>
  <c r="A17" i="3"/>
  <c r="K18" i="3" l="1"/>
  <c r="J18" i="3"/>
  <c r="I18" i="3"/>
  <c r="H18" i="3"/>
  <c r="F4" i="3" s="1"/>
  <c r="G18" i="3"/>
  <c r="F18" i="3"/>
  <c r="E18" i="3"/>
  <c r="D18" i="3"/>
  <c r="F3" i="3" s="1"/>
  <c r="C18" i="3"/>
  <c r="A18" i="3"/>
  <c r="H4" i="3" l="1"/>
  <c r="H3" i="3"/>
</calcChain>
</file>

<file path=xl/sharedStrings.xml><?xml version="1.0" encoding="utf-8"?>
<sst xmlns="http://schemas.openxmlformats.org/spreadsheetml/2006/main" count="90" uniqueCount="84">
  <si>
    <t>Codex Reset Benefit Calculator | Settings</t>
  </si>
  <si>
    <t>Parameters</t>
  </si>
  <si>
    <t>Value</t>
  </si>
  <si>
    <t>Instructions</t>
  </si>
  <si>
    <t>Code</t>
  </si>
  <si>
    <t>Meaning</t>
  </si>
  <si>
    <t>Description</t>
  </si>
  <si>
    <t>First Subscription Cycle Start Date</t>
  </si>
  <si>
    <t>Enter a date in YYYY/M/D format, e.g. 2026/3/1</t>
  </si>
  <si>
    <t>T</t>
  </si>
  <si>
    <t>Tibo Global Reset</t>
  </si>
  <si>
    <t>Manual entry; included in total reset count and extra benefit</t>
  </si>
  <si>
    <t>Monthly Renewal Day</t>
  </si>
  <si>
    <t>Enter the monthly renewal day, e.g. 1</t>
  </si>
  <si>
    <t>B</t>
  </si>
  <si>
    <t>Banked Reset</t>
  </si>
  <si>
    <t xml:space="preserve">Monthly Fee </t>
  </si>
  <si>
    <t>Enter the actual subscription price, e.g. 20</t>
  </si>
  <si>
    <t>P</t>
  </si>
  <si>
    <t>Paid Reset</t>
  </si>
  <si>
    <t>Days Used for Monthly Calculation</t>
  </si>
  <si>
    <t>Enter the number of days used for the monthly average, e.g. 30</t>
  </si>
  <si>
    <t>O</t>
  </si>
  <si>
    <t>Other Reset</t>
  </si>
  <si>
    <t>Weekly Cycle Length (Days)</t>
  </si>
  <si>
    <t>Enter the weekly reset cycle length in days, e.g. 7</t>
  </si>
  <si>
    <t>W</t>
  </si>
  <si>
    <t>Weekly Reset</t>
  </si>
  <si>
    <t>Auto-generated; included in total reset count, but not extra benefit</t>
  </si>
  <si>
    <t>Share of Weekly Allowance per 5-hour Window</t>
  </si>
  <si>
    <t>Auto-calculated: share of weekly allowance per 5-hour window; no input needed</t>
  </si>
  <si>
    <t>Equivalent Cost per 5-hour Allowance</t>
  </si>
  <si>
    <t>Auto-calculated: equivalent cost per 5-hour allowance; no input needed</t>
  </si>
  <si>
    <t>Weekly reset rule: W is generated automatically every 7 days after the subscription starts. If T / B / P / O is entered during the cycle, that date immediately becomes the new weekly cycle start, and subsequent W resets are recalculated every 7 days from that date. W counts toward the total reset count but not toward extra benefit.</t>
  </si>
  <si>
    <t>Nominal Value of One Weekly Allowance</t>
  </si>
  <si>
    <t>Auto-calculated: nominal value of one weekly allowance; no input needed</t>
  </si>
  <si>
    <t>Minimum Days for Plus to Exhaust Weekly Allowance</t>
  </si>
  <si>
    <t>Enter the minimum number of days needed to use the full weekly allowance, e.g. 2</t>
  </si>
  <si>
    <t>Calculation Rules</t>
  </si>
  <si>
    <t>Formula / Meaning</t>
  </si>
  <si>
    <t>Single Reset Benefit Rate</t>
  </si>
  <si>
    <t>Days remaining until the original next weekly reset ÷ 7</t>
  </si>
  <si>
    <t>Monthly Equivalent Extra Reset Count</t>
  </si>
  <si>
    <t>Cumulative days brought forward in this subscription cycle ÷ 7</t>
  </si>
  <si>
    <t>Plus Cost-Effective Reset Threshold</t>
  </si>
  <si>
    <t>Theoretical Maximum Equivalent Value of Two Banked Resets</t>
  </si>
  <si>
    <t>Annual Daily Reset Log | Enter T / B / P / O only in "Manual Reset"; W is generated automatically</t>
  </si>
  <si>
    <t>Date</t>
  </si>
  <si>
    <t>Day</t>
  </si>
  <si>
    <t>Subscription Cycle Start</t>
  </si>
  <si>
    <t>Manual Reset</t>
  </si>
  <si>
    <t>Reset Event</t>
  </si>
  <si>
    <t>Original Next Weekly Reset</t>
  </si>
  <si>
    <t>Days Brought Forward</t>
  </si>
  <si>
    <t>Time-Equivalent Benefit Rate</t>
  </si>
  <si>
    <t>Equivalent Value</t>
  </si>
  <si>
    <t>Codex Reset Benefit | 12 Subscription Cycles Summary</t>
  </si>
  <si>
    <t>Monthly Fee</t>
  </si>
  <si>
    <t>Nominal Weekly Allowance Value</t>
  </si>
  <si>
    <t>Total Resets (Annual)</t>
  </si>
  <si>
    <t>Extra Resets (Annual)</t>
  </si>
  <si>
    <t>Equivalent Extra Weekly Allowances (Annual)</t>
  </si>
  <si>
    <t>Average Extra-Reset Benefit Rate</t>
  </si>
  <si>
    <t>Cycle</t>
  </si>
  <si>
    <t>Start Date</t>
  </si>
  <si>
    <t>End Date</t>
  </si>
  <si>
    <t>Total Resets</t>
  </si>
  <si>
    <t>Weekly Resets (W)</t>
  </si>
  <si>
    <t>Extra Resets</t>
  </si>
  <si>
    <t>Cumulative Days Brought Forward</t>
  </si>
  <si>
    <t>Equivalent Extra Weekly Allowances</t>
  </si>
  <si>
    <t>Notes</t>
  </si>
  <si>
    <t>How to Use</t>
  </si>
  <si>
    <t>1</t>
  </si>
  <si>
    <t>Open the daily log and locate the date when the reset occurred.</t>
  </si>
  <si>
    <t>2</t>
  </si>
  <si>
    <t>In "Manual Reset", enter: T = Tibo Global, B = Banked, P = Paid, O = Other</t>
  </si>
  <si>
    <t>3</t>
  </si>
  <si>
    <t>Everything else is calculated automatically; the monthly summary updates automatically.</t>
  </si>
  <si>
    <t>Core Formulas</t>
  </si>
  <si>
    <t>Single reset benefit rate = days brought forward ÷ 7;</t>
  </si>
  <si>
    <t>Monthly equivalent extra reset count = cumulative days brought forward ÷ 7.</t>
  </si>
  <si>
    <t>Rating</t>
  </si>
  <si>
    <t>Average Time Advance Rate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</si>
</sst>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%"/>
    <numFmt numFmtId="177" formatCode="yyyy\-mm\-dd"/>
    <numFmt numFmtId="178" formatCode="\$0.00"/>
  </numFmts>
  <fonts count="12">
    <font>
      <sz val="11"/>
      <name val="Carlito"/>
    </font>
    <font>
      <b/>
      <sz val="16"/>
      <color rgb="FFFFFFFF"/>
      <name val="Carlito"/>
    </font>
    <font>
      <b/>
      <sz val="11"/>
      <color rgb="FF17365D"/>
      <name val="Carlito"/>
    </font>
    <font>
      <b/>
      <sz val="11"/>
      <color rgb="FF375623"/>
      <name val="Carlito"/>
    </font>
    <font>
      <b/>
      <sz val="11"/>
      <name val="Carlito"/>
    </font>
    <font>
      <sz val="11"/>
      <color rgb="FF7F7F7F"/>
      <name val="Carlito"/>
    </font>
    <font>
      <sz val="11"/>
      <color rgb="FF666666"/>
      <name val="Carlito"/>
    </font>
    <font>
      <sz val="9"/>
      <name val="宋体"/>
      <family val="3"/>
      <charset val="134"/>
    </font>
    <font>
      <b/>
      <sz val="11"/>
      <color rgb="FF17365D"/>
      <name val="微软雅黑"/>
      <family val="2"/>
      <charset val="134"/>
    </font>
    <font>
      <sz val="11"/>
      <name val="微软雅黑"/>
      <family val="2"/>
      <charset val="134"/>
    </font>
    <font>
      <sz val="11"/>
      <name val="Carlito"/>
    </font>
    <font>
      <b/>
      <sz val="16"/>
      <color rgb="FFFFFFFF"/>
      <name val="Carlito"/>
    </font>
  </fonts>
  <fills count="10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D9EAF7"/>
      </patternFill>
    </fill>
    <fill>
      <patternFill patternType="solid">
        <fgColor rgb="FFF2F2F2"/>
      </patternFill>
    </fill>
    <fill>
      <patternFill patternType="solid">
        <fgColor rgb="FFF7F7F7"/>
      </patternFill>
    </fill>
    <fill>
      <patternFill patternType="solid">
        <fgColor rgb="FFFFF2CC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D0D0D0"/>
      </top>
      <bottom/>
      <diagonal/>
    </border>
    <border>
      <left/>
      <right style="thin">
        <color rgb="FFD0D0D0"/>
      </right>
      <top style="thin">
        <color rgb="FFD0D0D0"/>
      </top>
      <bottom/>
      <diagonal/>
    </border>
    <border>
      <left style="thin">
        <color rgb="FFD0D0D0"/>
      </left>
      <right/>
      <top/>
      <bottom/>
      <diagonal/>
    </border>
    <border>
      <left/>
      <right style="thin">
        <color rgb="FFD0D0D0"/>
      </right>
      <top/>
      <bottom/>
      <diagonal/>
    </border>
    <border>
      <left style="thin">
        <color rgb="FFD0D0D0"/>
      </left>
      <right/>
      <top/>
      <bottom style="thin">
        <color rgb="FFD0D0D0"/>
      </bottom>
      <diagonal/>
    </border>
    <border>
      <left/>
      <right/>
      <top/>
      <bottom style="thin">
        <color rgb="FFD0D0D0"/>
      </bottom>
      <diagonal/>
    </border>
    <border>
      <left/>
      <right style="thin">
        <color rgb="FFD0D0D0"/>
      </right>
      <top/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">
    <xf numFmtId="0" fontId="0" fillId="0" borderId="1"/>
    <xf numFmtId="0" fontId="10" fillId="0" borderId="1"/>
  </cellStyleXfs>
  <cellXfs count="61">
    <xf numFmtId="0" fontId="0" fillId="0" borderId="0" xfId="0" applyBorder="1"/>
    <xf numFmtId="0" fontId="2" fillId="3" borderId="0" xfId="1" applyFont="1" applyFill="1" applyBorder="1" applyAlignment="1">
      <alignment horizontal="center" vertical="center"/>
    </xf>
    <xf numFmtId="0" fontId="0" fillId="0" borderId="0" xfId="1" applyFont="1" applyBorder="1" applyAlignment="1">
      <alignment wrapText="1"/>
    </xf>
    <xf numFmtId="0" fontId="4" fillId="6" borderId="0" xfId="1" applyFont="1" applyFill="1" applyBorder="1" applyAlignment="1">
      <alignment horizontal="center" vertical="center"/>
    </xf>
    <xf numFmtId="0" fontId="0" fillId="0" borderId="1" xfId="1" applyFont="1" applyAlignment="1">
      <alignment wrapText="1"/>
    </xf>
    <xf numFmtId="0" fontId="0" fillId="0" borderId="0" xfId="0" applyBorder="1" applyAlignment="1">
      <alignment horizontal="center"/>
    </xf>
    <xf numFmtId="176" fontId="0" fillId="0" borderId="0" xfId="1" applyNumberFormat="1" applyFont="1" applyBorder="1" applyAlignment="1">
      <alignment horizontal="center"/>
    </xf>
    <xf numFmtId="0" fontId="8" fillId="3" borderId="0" xfId="1" applyFont="1" applyFill="1" applyBorder="1" applyAlignment="1">
      <alignment horizontal="center" vertical="center"/>
    </xf>
    <xf numFmtId="0" fontId="0" fillId="9" borderId="0" xfId="1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77" fontId="0" fillId="0" borderId="0" xfId="1" applyNumberFormat="1" applyFont="1" applyBorder="1" applyAlignment="1">
      <alignment horizontal="center" vertical="center"/>
    </xf>
    <xf numFmtId="1" fontId="0" fillId="0" borderId="0" xfId="1" applyNumberFormat="1" applyFont="1" applyBorder="1" applyAlignment="1">
      <alignment horizontal="center" vertical="center"/>
    </xf>
    <xf numFmtId="176" fontId="0" fillId="0" borderId="0" xfId="1" applyNumberFormat="1" applyFont="1" applyBorder="1" applyAlignment="1">
      <alignment horizontal="center" vertical="center"/>
    </xf>
    <xf numFmtId="0" fontId="3" fillId="5" borderId="0" xfId="1" applyFont="1" applyFill="1" applyBorder="1" applyAlignment="1">
      <alignment horizontal="center" vertical="center" wrapText="1"/>
    </xf>
    <xf numFmtId="1" fontId="0" fillId="0" borderId="0" xfId="1" applyNumberFormat="1" applyFont="1" applyBorder="1" applyAlignment="1">
      <alignment horizontal="center" vertical="center" wrapText="1"/>
    </xf>
    <xf numFmtId="1" fontId="3" fillId="5" borderId="0" xfId="1" applyNumberFormat="1" applyFont="1" applyFill="1" applyBorder="1" applyAlignment="1">
      <alignment horizontal="center" vertical="center" wrapText="1"/>
    </xf>
    <xf numFmtId="176" fontId="0" fillId="0" borderId="0" xfId="1" applyNumberFormat="1" applyFont="1" applyBorder="1" applyAlignment="1">
      <alignment horizontal="center" vertical="center" wrapText="1"/>
    </xf>
    <xf numFmtId="2" fontId="0" fillId="0" borderId="0" xfId="1" applyNumberFormat="1" applyFont="1" applyBorder="1" applyAlignment="1">
      <alignment horizontal="center" vertical="center" wrapText="1"/>
    </xf>
    <xf numFmtId="0" fontId="0" fillId="0" borderId="1" xfId="1" applyFont="1"/>
    <xf numFmtId="0" fontId="0" fillId="0" borderId="0" xfId="1" applyFont="1" applyBorder="1" applyAlignment="1">
      <alignment horizontal="center" vertical="center" wrapText="1"/>
    </xf>
    <xf numFmtId="0" fontId="10" fillId="0" borderId="1" xfId="1" applyAlignment="1">
      <alignment wrapText="1"/>
    </xf>
    <xf numFmtId="177" fontId="0" fillId="4" borderId="0" xfId="1" applyNumberFormat="1" applyFont="1" applyFill="1" applyBorder="1" applyAlignment="1">
      <alignment horizontal="center"/>
    </xf>
    <xf numFmtId="0" fontId="0" fillId="4" borderId="0" xfId="1" applyFont="1" applyFill="1" applyBorder="1" applyAlignment="1">
      <alignment horizontal="center"/>
    </xf>
    <xf numFmtId="10" fontId="0" fillId="4" borderId="0" xfId="1" applyNumberFormat="1" applyFont="1" applyFill="1" applyBorder="1" applyAlignment="1">
      <alignment horizontal="center"/>
    </xf>
    <xf numFmtId="1" fontId="0" fillId="4" borderId="0" xfId="1" applyNumberFormat="1" applyFont="1" applyFill="1" applyBorder="1" applyAlignment="1">
      <alignment horizontal="center"/>
    </xf>
    <xf numFmtId="0" fontId="0" fillId="0" borderId="1" xfId="0"/>
    <xf numFmtId="0" fontId="10" fillId="0" borderId="0" xfId="0" applyFont="1" applyBorder="1"/>
    <xf numFmtId="0" fontId="9" fillId="0" borderId="0" xfId="0" applyFont="1" applyBorder="1"/>
    <xf numFmtId="177" fontId="0" fillId="0" borderId="0" xfId="1" applyNumberFormat="1" applyFont="1" applyBorder="1" applyAlignment="1">
      <alignment horizontal="center"/>
    </xf>
    <xf numFmtId="1" fontId="0" fillId="0" borderId="0" xfId="1" applyNumberFormat="1" applyFont="1" applyBorder="1" applyAlignment="1">
      <alignment horizontal="center"/>
    </xf>
    <xf numFmtId="2" fontId="0" fillId="0" borderId="0" xfId="1" applyNumberFormat="1" applyFont="1" applyBorder="1" applyAlignment="1">
      <alignment horizontal="center"/>
    </xf>
    <xf numFmtId="0" fontId="0" fillId="0" borderId="0" xfId="0" applyBorder="1" applyAlignment="1">
      <alignment horizontal="left" vertical="center"/>
    </xf>
    <xf numFmtId="0" fontId="0" fillId="0" borderId="0" xfId="1" applyFont="1" applyBorder="1" applyAlignment="1">
      <alignment horizontal="center" vertical="center"/>
    </xf>
    <xf numFmtId="0" fontId="5" fillId="7" borderId="0" xfId="1" applyFont="1" applyFill="1" applyBorder="1" applyAlignment="1">
      <alignment horizontal="center" vertical="center"/>
    </xf>
    <xf numFmtId="0" fontId="5" fillId="7" borderId="0" xfId="1" applyFont="1" applyFill="1" applyBorder="1" applyAlignment="1">
      <alignment horizontal="center" vertical="center" wrapText="1"/>
    </xf>
    <xf numFmtId="0" fontId="0" fillId="0" borderId="0" xfId="0" applyBorder="1" applyAlignment="1">
      <alignment horizontal="left"/>
    </xf>
    <xf numFmtId="178" fontId="0" fillId="4" borderId="0" xfId="1" applyNumberFormat="1" applyFont="1" applyFill="1" applyBorder="1" applyAlignment="1">
      <alignment horizontal="center"/>
    </xf>
    <xf numFmtId="178" fontId="0" fillId="0" borderId="0" xfId="1" applyNumberFormat="1" applyFont="1" applyBorder="1" applyAlignment="1">
      <alignment horizontal="center"/>
    </xf>
    <xf numFmtId="178" fontId="0" fillId="0" borderId="0" xfId="1" applyNumberFormat="1" applyFont="1" applyBorder="1" applyAlignment="1">
      <alignment horizontal="center" vertical="center"/>
    </xf>
    <xf numFmtId="178" fontId="0" fillId="0" borderId="0" xfId="1" applyNumberFormat="1" applyFont="1" applyBorder="1" applyAlignment="1">
      <alignment horizontal="center" vertical="center" wrapText="1"/>
    </xf>
    <xf numFmtId="176" fontId="0" fillId="0" borderId="0" xfId="0" applyNumberFormat="1" applyBorder="1" applyAlignment="1">
      <alignment horizontal="center" vertical="center"/>
    </xf>
    <xf numFmtId="0" fontId="0" fillId="0" borderId="1" xfId="0" applyAlignment="1">
      <alignment horizontal="center"/>
    </xf>
    <xf numFmtId="0" fontId="0" fillId="0" borderId="0" xfId="0" applyBorder="1"/>
    <xf numFmtId="0" fontId="1" fillId="2" borderId="1" xfId="1" applyFont="1" applyFill="1" applyAlignment="1">
      <alignment horizontal="center" vertical="center"/>
    </xf>
    <xf numFmtId="0" fontId="0" fillId="0" borderId="1" xfId="0"/>
    <xf numFmtId="176" fontId="0" fillId="0" borderId="1" xfId="1" applyNumberFormat="1" applyFont="1" applyAlignment="1">
      <alignment horizontal="center"/>
    </xf>
    <xf numFmtId="178" fontId="0" fillId="0" borderId="1" xfId="1" applyNumberFormat="1" applyFont="1" applyAlignment="1">
      <alignment horizontal="center"/>
    </xf>
    <xf numFmtId="0" fontId="6" fillId="8" borderId="9" xfId="1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3" borderId="0" xfId="1" applyFont="1" applyFill="1" applyBorder="1" applyAlignment="1">
      <alignment horizontal="center" vertical="center"/>
    </xf>
    <xf numFmtId="0" fontId="11" fillId="2" borderId="1" xfId="1" applyFont="1" applyFill="1" applyAlignment="1">
      <alignment horizontal="center" vertical="center"/>
    </xf>
    <xf numFmtId="0" fontId="9" fillId="0" borderId="1" xfId="1" applyFont="1" applyAlignment="1">
      <alignment horizontal="left" wrapText="1"/>
    </xf>
    <xf numFmtId="0" fontId="0" fillId="0" borderId="1" xfId="1" applyFont="1" applyAlignment="1">
      <alignment horizontal="left" wrapText="1"/>
    </xf>
    <xf numFmtId="0" fontId="2" fillId="3" borderId="1" xfId="1" applyFont="1" applyFill="1" applyAlignment="1">
      <alignment horizontal="center" vertical="center" wrapText="1"/>
    </xf>
    <xf numFmtId="0" fontId="10" fillId="0" borderId="1" xfId="1" applyAlignment="1">
      <alignment horizontal="left" wrapText="1"/>
    </xf>
  </cellXfs>
  <cellStyles count="2">
    <cellStyle name="Normal" xfId="1" xr:uid="{00000000-0005-0000-0000-000000000000}"/>
    <cellStyle name="常规" xfId="0" builtinId="0"/>
  </cellStyles>
  <dxfs count="5">
    <dxf>
      <font>
        <b/>
        <color rgb="FFA64B00"/>
      </font>
      <fill>
        <patternFill>
          <bgColor rgb="FFFCE4D6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548235"/>
      </font>
      <fill>
        <patternFill>
          <bgColor rgb="FFE2F0D9"/>
        </patternFill>
      </fill>
    </dxf>
    <dxf>
      <font>
        <b/>
        <color rgb="FF2F5597"/>
      </font>
      <fill>
        <patternFill>
          <bgColor rgb="FFEAF3FF"/>
        </patternFill>
      </fill>
    </dxf>
    <dxf>
      <font>
        <i/>
        <color rgb="FF8A8A8A"/>
      </font>
      <fill>
        <patternFill>
          <bgColor rgb="FFF2F2F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workbookViewId="0">
      <selection sqref="A1:XFD1"/>
    </sheetView>
  </sheetViews>
  <sheetFormatPr defaultRowHeight="14.15"/>
  <cols>
    <col min="1" max="1" width="52.140625" customWidth="1"/>
    <col min="2" max="2" width="31.140625" customWidth="1"/>
    <col min="3" max="3" width="69.140625" customWidth="1"/>
    <col min="4" max="4" width="5.5" style="25" customWidth="1"/>
    <col min="5" max="5" width="10" customWidth="1"/>
    <col min="6" max="6" width="19.5703125" customWidth="1"/>
    <col min="7" max="7" width="62.5" customWidth="1"/>
  </cols>
  <sheetData>
    <row r="1" spans="1:7" ht="28.4" customHeight="1">
      <c r="A1" s="43" t="s">
        <v>0</v>
      </c>
      <c r="B1" s="42"/>
      <c r="C1" s="42"/>
      <c r="D1" s="44"/>
      <c r="E1" s="42"/>
      <c r="F1" s="42"/>
      <c r="G1" s="42"/>
    </row>
    <row r="2" spans="1:7" ht="14.25" customHeight="1"/>
    <row r="3" spans="1:7" ht="14.25" customHeight="1">
      <c r="A3" s="1" t="s">
        <v>1</v>
      </c>
      <c r="B3" s="1" t="s">
        <v>2</v>
      </c>
      <c r="C3" s="1" t="s">
        <v>3</v>
      </c>
      <c r="E3" s="3" t="s">
        <v>4</v>
      </c>
      <c r="F3" s="3" t="s">
        <v>5</v>
      </c>
      <c r="G3" s="3" t="s">
        <v>6</v>
      </c>
    </row>
    <row r="4" spans="1:7" ht="14.25" customHeight="1">
      <c r="A4" s="31" t="s">
        <v>7</v>
      </c>
      <c r="B4" s="21"/>
      <c r="C4" t="s">
        <v>8</v>
      </c>
      <c r="E4" s="32" t="s">
        <v>9</v>
      </c>
      <c r="F4" s="9" t="s">
        <v>10</v>
      </c>
      <c r="G4" s="19" t="s">
        <v>11</v>
      </c>
    </row>
    <row r="5" spans="1:7" ht="14.25" customHeight="1">
      <c r="A5" s="31" t="s">
        <v>12</v>
      </c>
      <c r="B5" s="22"/>
      <c r="C5" t="s">
        <v>13</v>
      </c>
      <c r="E5" s="32" t="s">
        <v>14</v>
      </c>
      <c r="F5" s="9" t="s">
        <v>15</v>
      </c>
      <c r="G5" s="19" t="s">
        <v>11</v>
      </c>
    </row>
    <row r="6" spans="1:7" ht="14.25" customHeight="1">
      <c r="A6" s="31" t="s">
        <v>16</v>
      </c>
      <c r="B6" s="22"/>
      <c r="C6" t="s">
        <v>17</v>
      </c>
      <c r="E6" s="32" t="s">
        <v>18</v>
      </c>
      <c r="F6" s="9" t="s">
        <v>19</v>
      </c>
      <c r="G6" s="19" t="s">
        <v>11</v>
      </c>
    </row>
    <row r="7" spans="1:7" ht="14.25" customHeight="1">
      <c r="A7" s="31" t="s">
        <v>20</v>
      </c>
      <c r="B7" s="22">
        <v>30</v>
      </c>
      <c r="C7" t="s">
        <v>21</v>
      </c>
      <c r="E7" s="32" t="s">
        <v>22</v>
      </c>
      <c r="F7" s="9" t="s">
        <v>23</v>
      </c>
      <c r="G7" s="19" t="s">
        <v>11</v>
      </c>
    </row>
    <row r="8" spans="1:7" ht="14.25" customHeight="1">
      <c r="A8" s="31" t="s">
        <v>24</v>
      </c>
      <c r="B8" s="22">
        <v>7</v>
      </c>
      <c r="C8" t="s">
        <v>25</v>
      </c>
      <c r="E8" s="33" t="s">
        <v>26</v>
      </c>
      <c r="F8" s="33" t="s">
        <v>27</v>
      </c>
      <c r="G8" s="34" t="s">
        <v>28</v>
      </c>
    </row>
    <row r="9" spans="1:7" ht="14.25" customHeight="1">
      <c r="A9" s="31" t="s">
        <v>29</v>
      </c>
      <c r="B9" s="23">
        <f>1/B8</f>
        <v>0.14285714285714285</v>
      </c>
      <c r="C9" s="26" t="s">
        <v>30</v>
      </c>
    </row>
    <row r="10" spans="1:7" ht="14.25" customHeight="1">
      <c r="A10" s="31" t="s">
        <v>31</v>
      </c>
      <c r="B10" s="36">
        <f>B6/B7</f>
        <v>0</v>
      </c>
      <c r="C10" s="27" t="s">
        <v>32</v>
      </c>
      <c r="E10" s="47" t="s">
        <v>33</v>
      </c>
      <c r="F10" s="48"/>
      <c r="G10" s="49"/>
    </row>
    <row r="11" spans="1:7" ht="14.25" customHeight="1">
      <c r="A11" s="31" t="s">
        <v>34</v>
      </c>
      <c r="B11" s="36">
        <f>B10*B8</f>
        <v>0</v>
      </c>
      <c r="C11" s="26" t="s">
        <v>35</v>
      </c>
      <c r="E11" s="50"/>
      <c r="F11" s="42"/>
      <c r="G11" s="51"/>
    </row>
    <row r="12" spans="1:7" ht="14.25" customHeight="1">
      <c r="A12" s="31" t="s">
        <v>36</v>
      </c>
      <c r="B12" s="24">
        <v>2</v>
      </c>
      <c r="C12" s="26" t="s">
        <v>37</v>
      </c>
      <c r="E12" s="52"/>
      <c r="F12" s="53"/>
      <c r="G12" s="54"/>
    </row>
    <row r="13" spans="1:7" ht="14.25" customHeight="1">
      <c r="A13" s="31"/>
    </row>
    <row r="14" spans="1:7" ht="14.25" customHeight="1">
      <c r="A14" s="1" t="s">
        <v>38</v>
      </c>
      <c r="B14" s="55" t="s">
        <v>39</v>
      </c>
      <c r="C14" s="55"/>
    </row>
    <row r="15" spans="1:7" ht="14.25" customHeight="1">
      <c r="A15" t="s">
        <v>40</v>
      </c>
      <c r="B15" s="41" t="s">
        <v>41</v>
      </c>
      <c r="C15" s="42"/>
    </row>
    <row r="16" spans="1:7" ht="14.25" customHeight="1">
      <c r="A16" t="s">
        <v>42</v>
      </c>
      <c r="B16" s="41" t="s">
        <v>43</v>
      </c>
      <c r="C16" s="42"/>
    </row>
    <row r="17" spans="1:3" ht="14.25" customHeight="1">
      <c r="A17" t="s">
        <v>44</v>
      </c>
      <c r="B17" s="45">
        <f>(B8-B12)/B8</f>
        <v>0.7142857142857143</v>
      </c>
      <c r="C17" s="42"/>
    </row>
    <row r="18" spans="1:3" ht="14.25" customHeight="1">
      <c r="A18" t="s">
        <v>45</v>
      </c>
      <c r="B18" s="46">
        <f>B17*2*B11</f>
        <v>0</v>
      </c>
      <c r="C18" s="42"/>
    </row>
    <row r="26" spans="1:3" ht="13.75" customHeight="1"/>
  </sheetData>
  <mergeCells count="7">
    <mergeCell ref="B16:C16"/>
    <mergeCell ref="A1:G1"/>
    <mergeCell ref="B15:C15"/>
    <mergeCell ref="B17:C17"/>
    <mergeCell ref="B18:C18"/>
    <mergeCell ref="E10:G12"/>
    <mergeCell ref="B14:C14"/>
  </mergeCells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69"/>
  <sheetViews>
    <sheetView topLeftCell="D1" workbookViewId="0">
      <selection activeCell="J2" sqref="J1:J1048576"/>
    </sheetView>
  </sheetViews>
  <sheetFormatPr defaultRowHeight="14.15"/>
  <cols>
    <col min="1" max="1" width="14.85546875" style="9" customWidth="1"/>
    <col min="2" max="2" width="8" style="9" customWidth="1"/>
    <col min="3" max="3" width="25.35546875" style="9" customWidth="1"/>
    <col min="4" max="4" width="14" style="9" customWidth="1"/>
    <col min="5" max="5" width="13.78515625" style="9" customWidth="1"/>
    <col min="6" max="6" width="27.140625" style="9" customWidth="1"/>
    <col min="7" max="7" width="22.92578125" style="9" customWidth="1"/>
    <col min="8" max="8" width="26.7109375" style="9" customWidth="1"/>
    <col min="9" max="9" width="20.2109375" style="9" customWidth="1"/>
    <col min="10" max="10" width="40.640625" style="9" customWidth="1"/>
    <col min="11" max="11" width="0" style="9" hidden="1" customWidth="1"/>
    <col min="12" max="12" width="9.140625" style="9" customWidth="1"/>
    <col min="13" max="16384" width="9.140625" style="9"/>
  </cols>
  <sheetData>
    <row r="1" spans="1:11" ht="28.2" customHeight="1">
      <c r="A1" s="56" t="s">
        <v>46</v>
      </c>
      <c r="B1" s="56"/>
      <c r="C1" s="56"/>
      <c r="D1" s="56"/>
      <c r="E1" s="56"/>
      <c r="F1" s="56"/>
      <c r="G1" s="56"/>
      <c r="H1" s="56"/>
      <c r="I1" s="56"/>
      <c r="J1" s="56"/>
      <c r="K1" s="10"/>
    </row>
    <row r="2" spans="1:11" ht="14.25" customHeight="1"/>
    <row r="3" spans="1:11" ht="14.25" customHeight="1">
      <c r="A3" s="1" t="s">
        <v>47</v>
      </c>
      <c r="B3" s="1" t="s">
        <v>48</v>
      </c>
      <c r="C3" s="1" t="s">
        <v>49</v>
      </c>
      <c r="D3" s="1" t="s">
        <v>50</v>
      </c>
      <c r="E3" s="1" t="s">
        <v>51</v>
      </c>
      <c r="F3" s="1" t="s">
        <v>52</v>
      </c>
      <c r="G3" s="1" t="s">
        <v>53</v>
      </c>
      <c r="H3" s="1" t="s">
        <v>54</v>
      </c>
      <c r="I3" s="1" t="s">
        <v>55</v>
      </c>
      <c r="J3" s="7" t="s">
        <v>82</v>
      </c>
      <c r="K3" s="10"/>
    </row>
    <row r="4" spans="1:11" ht="14.25" customHeight="1">
      <c r="A4" s="10" t="str">
        <f>IF(Settings!$B$4="","",IF(Settings!$B$4+ROW()-4&lt;EDATE(Settings!$B$4,12),Settings!$B$4+ROW()-4,""))</f>
        <v/>
      </c>
      <c r="B4" s="9" t="str">
        <f t="shared" ref="B4:B67" si="0">IF(A4="","",CHOOSE(WEEKDAY(A4,2),"Mon","Tue","Wed","Thu","Fri","Sat","Sun"))</f>
        <v/>
      </c>
      <c r="C4" s="10" t="str">
        <f>IF(A4="","",IF(DAY(A4)&gt;=Settings!$B$5,DATE(YEAR(A4),MONTH(A4),Settings!$B$5),DATE(YEAR(EDATE(A4,-1)),MONTH(EDATE(A4,-1)),Settings!$B$5)))</f>
        <v/>
      </c>
      <c r="D4" s="8"/>
      <c r="E4" s="10" t="str">
        <f t="shared" ref="E4:E67" si="1">IF(A4="","",IF(D4&lt;&gt;"",D4,IF(A4=F4,"W","")))</f>
        <v/>
      </c>
      <c r="F4" s="10" t="str">
        <f>IF(A4="","",Settings!$B$4+Settings!$B$8)</f>
        <v/>
      </c>
      <c r="G4" s="11" t="str">
        <f t="shared" ref="G4:G67" si="2">IF(OR(A4="",D4=""),"",MAX(0,F4-A4))</f>
        <v/>
      </c>
      <c r="H4" s="12" t="str">
        <f>IF(G4="","",G4/Settings!$B$8)</f>
        <v/>
      </c>
      <c r="I4" s="38" t="str">
        <f>IF(H4="","",H4*Settings!$B$11)</f>
        <v/>
      </c>
      <c r="J4" s="40" t="str">
        <f>IF(E4="","",IF(E4="W","Weekly Reset",IF(H4&gt;=1,"Very High Benefit; High Unused-Allowance Risk",IF(H4&gt;Settings!$B$17,"Highly Beneficial; Allowance May Be Underused",IF(H4&gt;=Settings!$B$17,"Highly Beneficial",IF(H4&gt;=0.4,"Moderate",IF(H4&gt;0,"Low Benefit","No Advance Benefit")))))))</f>
        <v/>
      </c>
      <c r="K4" s="10" t="str">
        <f>IF(A4="","",IF(D4&lt;&gt;"",A4,IF(A4=F4,A4,Settings!$B$4)))</f>
        <v/>
      </c>
    </row>
    <row r="5" spans="1:11" ht="14.25" customHeight="1">
      <c r="A5" s="10" t="str">
        <f>IF(Settings!$B$4="","",IF(Settings!$B$4+ROW()-4&lt;EDATE(Settings!$B$4,12),Settings!$B$4+ROW()-4,""))</f>
        <v/>
      </c>
      <c r="B5" s="9" t="str">
        <f t="shared" si="0"/>
        <v/>
      </c>
      <c r="C5" s="10" t="str">
        <f>IF(A5="","",IF(DAY(A5)&gt;=Settings!$B$5,DATE(YEAR(A5),MONTH(A5),Settings!$B$5),DATE(YEAR(EDATE(A5,-1)),MONTH(EDATE(A5,-1)),Settings!$B$5)))</f>
        <v/>
      </c>
      <c r="D5" s="8"/>
      <c r="E5" s="10" t="str">
        <f t="shared" si="1"/>
        <v/>
      </c>
      <c r="F5" s="10" t="str">
        <f>IF(A5="","",K4+Settings!$B$8)</f>
        <v/>
      </c>
      <c r="G5" s="11" t="str">
        <f t="shared" si="2"/>
        <v/>
      </c>
      <c r="H5" s="12" t="str">
        <f>IF(G5="","",G5/Settings!$B$8)</f>
        <v/>
      </c>
      <c r="I5" s="38" t="str">
        <f>IF(H5="","",H5*Settings!$B$11)</f>
        <v/>
      </c>
      <c r="J5" s="40" t="str">
        <f>IF(E5="","",IF(E5="W","Weekly Reset",IF(H5&gt;=1,"Very High Benefit; High Unused-Allowance Risk",IF(H5&gt;Settings!$B$17,"Highly Beneficial; Allowance May Be Underused",IF(H5&gt;=Settings!$B$17,"Highly Beneficial",IF(H5&gt;=0.4,"Moderate",IF(H5&gt;0,"Low Benefit","No Advance Benefit")))))))</f>
        <v/>
      </c>
      <c r="K5" s="10" t="str">
        <f t="shared" ref="K5:K68" si="3">IF(A5="","",IF(D5&lt;&gt;"",A5,IF(A5=F5,A5,K4)))</f>
        <v/>
      </c>
    </row>
    <row r="6" spans="1:11" ht="14.25" customHeight="1">
      <c r="A6" s="10" t="str">
        <f>IF(Settings!$B$4="","",IF(Settings!$B$4+ROW()-4&lt;EDATE(Settings!$B$4,12),Settings!$B$4+ROW()-4,""))</f>
        <v/>
      </c>
      <c r="B6" s="9" t="str">
        <f t="shared" si="0"/>
        <v/>
      </c>
      <c r="C6" s="10" t="str">
        <f>IF(A6="","",IF(DAY(A6)&gt;=Settings!$B$5,DATE(YEAR(A6),MONTH(A6),Settings!$B$5),DATE(YEAR(EDATE(A6,-1)),MONTH(EDATE(A6,-1)),Settings!$B$5)))</f>
        <v/>
      </c>
      <c r="D6" s="8"/>
      <c r="E6" s="10" t="str">
        <f t="shared" si="1"/>
        <v/>
      </c>
      <c r="F6" s="10" t="str">
        <f>IF(A6="","",K5+Settings!$B$8)</f>
        <v/>
      </c>
      <c r="G6" s="11" t="str">
        <f t="shared" si="2"/>
        <v/>
      </c>
      <c r="H6" s="12" t="str">
        <f>IF(G6="","",G6/Settings!$B$8)</f>
        <v/>
      </c>
      <c r="I6" s="38" t="str">
        <f>IF(H6="","",H6*Settings!$B$11)</f>
        <v/>
      </c>
      <c r="J6" s="40" t="str">
        <f>IF(E6="","",IF(E6="W","Weekly Reset",IF(H6&gt;=1,"Very High Benefit; High Unused-Allowance Risk",IF(H6&gt;Settings!$B$17,"Highly Beneficial; Allowance May Be Underused",IF(H6&gt;=Settings!$B$17,"Highly Beneficial",IF(H6&gt;=0.4,"Moderate",IF(H6&gt;0,"Low Benefit","No Advance Benefit")))))))</f>
        <v/>
      </c>
      <c r="K6" s="10" t="str">
        <f t="shared" si="3"/>
        <v/>
      </c>
    </row>
    <row r="7" spans="1:11" ht="14.25" customHeight="1">
      <c r="A7" s="10" t="str">
        <f>IF(Settings!$B$4="","",IF(Settings!$B$4+ROW()-4&lt;EDATE(Settings!$B$4,12),Settings!$B$4+ROW()-4,""))</f>
        <v/>
      </c>
      <c r="B7" s="9" t="str">
        <f t="shared" si="0"/>
        <v/>
      </c>
      <c r="C7" s="10" t="str">
        <f>IF(A7="","",IF(DAY(A7)&gt;=Settings!$B$5,DATE(YEAR(A7),MONTH(A7),Settings!$B$5),DATE(YEAR(EDATE(A7,-1)),MONTH(EDATE(A7,-1)),Settings!$B$5)))</f>
        <v/>
      </c>
      <c r="D7" s="8"/>
      <c r="E7" s="10" t="str">
        <f t="shared" si="1"/>
        <v/>
      </c>
      <c r="F7" s="10" t="str">
        <f>IF(A7="","",K6+Settings!$B$8)</f>
        <v/>
      </c>
      <c r="G7" s="11" t="str">
        <f t="shared" si="2"/>
        <v/>
      </c>
      <c r="H7" s="12" t="str">
        <f>IF(G7="","",G7/Settings!$B$8)</f>
        <v/>
      </c>
      <c r="I7" s="38" t="str">
        <f>IF(H7="","",H7*Settings!$B$11)</f>
        <v/>
      </c>
      <c r="J7" s="40" t="str">
        <f>IF(E7="","",IF(E7="W","Weekly Reset",IF(H7&gt;=1,"Very High Benefit; High Unused-Allowance Risk",IF(H7&gt;Settings!$B$17,"Highly Beneficial; Allowance May Be Underused",IF(H7&gt;=Settings!$B$17,"Highly Beneficial",IF(H7&gt;=0.4,"Moderate",IF(H7&gt;0,"Low Benefit","No Advance Benefit")))))))</f>
        <v/>
      </c>
      <c r="K7" s="10" t="str">
        <f t="shared" si="3"/>
        <v/>
      </c>
    </row>
    <row r="8" spans="1:11" ht="14.25" customHeight="1">
      <c r="A8" s="10" t="str">
        <f>IF(Settings!$B$4="","",IF(Settings!$B$4+ROW()-4&lt;EDATE(Settings!$B$4,12),Settings!$B$4+ROW()-4,""))</f>
        <v/>
      </c>
      <c r="B8" s="9" t="str">
        <f t="shared" si="0"/>
        <v/>
      </c>
      <c r="C8" s="10" t="str">
        <f>IF(A8="","",IF(DAY(A8)&gt;=Settings!$B$5,DATE(YEAR(A8),MONTH(A8),Settings!$B$5),DATE(YEAR(EDATE(A8,-1)),MONTH(EDATE(A8,-1)),Settings!$B$5)))</f>
        <v/>
      </c>
      <c r="D8" s="8"/>
      <c r="E8" s="10" t="str">
        <f t="shared" si="1"/>
        <v/>
      </c>
      <c r="F8" s="10" t="str">
        <f>IF(A8="","",K7+Settings!$B$8)</f>
        <v/>
      </c>
      <c r="G8" s="11" t="str">
        <f t="shared" si="2"/>
        <v/>
      </c>
      <c r="H8" s="12" t="str">
        <f>IF(G8="","",G8/Settings!$B$8)</f>
        <v/>
      </c>
      <c r="I8" s="38" t="str">
        <f>IF(H8="","",H8*Settings!$B$11)</f>
        <v/>
      </c>
      <c r="J8" s="40" t="str">
        <f>IF(E8="","",IF(E8="W","Weekly Reset",IF(H8&gt;=1,"Very High Benefit; High Unused-Allowance Risk",IF(H8&gt;Settings!$B$17,"Highly Beneficial; Allowance May Be Underused",IF(H8&gt;=Settings!$B$17,"Highly Beneficial",IF(H8&gt;=0.4,"Moderate",IF(H8&gt;0,"Low Benefit","No Advance Benefit")))))))</f>
        <v/>
      </c>
      <c r="K8" s="10" t="str">
        <f t="shared" si="3"/>
        <v/>
      </c>
    </row>
    <row r="9" spans="1:11" ht="14.25" customHeight="1">
      <c r="A9" s="10" t="str">
        <f>IF(Settings!$B$4="","",IF(Settings!$B$4+ROW()-4&lt;EDATE(Settings!$B$4,12),Settings!$B$4+ROW()-4,""))</f>
        <v/>
      </c>
      <c r="B9" s="9" t="str">
        <f t="shared" si="0"/>
        <v/>
      </c>
      <c r="C9" s="10" t="str">
        <f>IF(A9="","",IF(DAY(A9)&gt;=Settings!$B$5,DATE(YEAR(A9),MONTH(A9),Settings!$B$5),DATE(YEAR(EDATE(A9,-1)),MONTH(EDATE(A9,-1)),Settings!$B$5)))</f>
        <v/>
      </c>
      <c r="D9" s="8"/>
      <c r="E9" s="10" t="str">
        <f t="shared" si="1"/>
        <v/>
      </c>
      <c r="F9" s="10" t="str">
        <f>IF(A9="","",K8+Settings!$B$8)</f>
        <v/>
      </c>
      <c r="G9" s="11" t="str">
        <f t="shared" si="2"/>
        <v/>
      </c>
      <c r="H9" s="12" t="str">
        <f>IF(G9="","",G9/Settings!$B$8)</f>
        <v/>
      </c>
      <c r="I9" s="38" t="str">
        <f>IF(H9="","",H9*Settings!$B$11)</f>
        <v/>
      </c>
      <c r="J9" s="40" t="str">
        <f>IF(E9="","",IF(E9="W","Weekly Reset",IF(H9&gt;=1,"Very High Benefit; High Unused-Allowance Risk",IF(H9&gt;Settings!$B$17,"Highly Beneficial; Allowance May Be Underused",IF(H9&gt;=Settings!$B$17,"Highly Beneficial",IF(H9&gt;=0.4,"Moderate",IF(H9&gt;0,"Low Benefit","No Advance Benefit")))))))</f>
        <v/>
      </c>
      <c r="K9" s="10" t="str">
        <f t="shared" si="3"/>
        <v/>
      </c>
    </row>
    <row r="10" spans="1:11" ht="14.25" customHeight="1">
      <c r="A10" s="10" t="str">
        <f>IF(Settings!$B$4="","",IF(Settings!$B$4+ROW()-4&lt;EDATE(Settings!$B$4,12),Settings!$B$4+ROW()-4,""))</f>
        <v/>
      </c>
      <c r="B10" s="9" t="str">
        <f t="shared" si="0"/>
        <v/>
      </c>
      <c r="C10" s="10" t="str">
        <f>IF(A10="","",IF(DAY(A10)&gt;=Settings!$B$5,DATE(YEAR(A10),MONTH(A10),Settings!$B$5),DATE(YEAR(EDATE(A10,-1)),MONTH(EDATE(A10,-1)),Settings!$B$5)))</f>
        <v/>
      </c>
      <c r="D10" s="8"/>
      <c r="E10" s="10" t="str">
        <f t="shared" si="1"/>
        <v/>
      </c>
      <c r="F10" s="10" t="str">
        <f>IF(A10="","",K9+Settings!$B$8)</f>
        <v/>
      </c>
      <c r="G10" s="11" t="str">
        <f t="shared" si="2"/>
        <v/>
      </c>
      <c r="H10" s="12" t="str">
        <f>IF(G10="","",G10/Settings!$B$8)</f>
        <v/>
      </c>
      <c r="I10" s="38" t="str">
        <f>IF(H10="","",H10*Settings!$B$11)</f>
        <v/>
      </c>
      <c r="J10" s="40" t="str">
        <f>IF(E10="","",IF(E10="W","Weekly Reset",IF(H10&gt;=1,"Very High Benefit; High Unused-Allowance Risk",IF(H10&gt;Settings!$B$17,"Highly Beneficial; Allowance May Be Underused",IF(H10&gt;=Settings!$B$17,"Highly Beneficial",IF(H10&gt;=0.4,"Moderate",IF(H10&gt;0,"Low Benefit","No Advance Benefit")))))))</f>
        <v/>
      </c>
      <c r="K10" s="10" t="str">
        <f t="shared" si="3"/>
        <v/>
      </c>
    </row>
    <row r="11" spans="1:11" ht="14.25" customHeight="1">
      <c r="A11" s="10" t="str">
        <f>IF(Settings!$B$4="","",IF(Settings!$B$4+ROW()-4&lt;EDATE(Settings!$B$4,12),Settings!$B$4+ROW()-4,""))</f>
        <v/>
      </c>
      <c r="B11" s="9" t="str">
        <f t="shared" si="0"/>
        <v/>
      </c>
      <c r="C11" s="10" t="str">
        <f>IF(A11="","",IF(DAY(A11)&gt;=Settings!$B$5,DATE(YEAR(A11),MONTH(A11),Settings!$B$5),DATE(YEAR(EDATE(A11,-1)),MONTH(EDATE(A11,-1)),Settings!$B$5)))</f>
        <v/>
      </c>
      <c r="D11" s="8"/>
      <c r="E11" s="10" t="str">
        <f t="shared" si="1"/>
        <v/>
      </c>
      <c r="F11" s="10" t="str">
        <f>IF(A11="","",K10+Settings!$B$8)</f>
        <v/>
      </c>
      <c r="G11" s="11" t="str">
        <f t="shared" si="2"/>
        <v/>
      </c>
      <c r="H11" s="12" t="str">
        <f>IF(G11="","",G11/Settings!$B$8)</f>
        <v/>
      </c>
      <c r="I11" s="38" t="str">
        <f>IF(H11="","",H11*Settings!$B$11)</f>
        <v/>
      </c>
      <c r="J11" s="40" t="str">
        <f>IF(E11="","",IF(E11="W","Weekly Reset",IF(H11&gt;=1,"Very High Benefit; High Unused-Allowance Risk",IF(H11&gt;Settings!$B$17,"Highly Beneficial; Allowance May Be Underused",IF(H11&gt;=Settings!$B$17,"Highly Beneficial",IF(H11&gt;=0.4,"Moderate",IF(H11&gt;0,"Low Benefit","No Advance Benefit")))))))</f>
        <v/>
      </c>
      <c r="K11" s="10" t="str">
        <f t="shared" si="3"/>
        <v/>
      </c>
    </row>
    <row r="12" spans="1:11" ht="14.25" customHeight="1">
      <c r="A12" s="10" t="str">
        <f>IF(Settings!$B$4="","",IF(Settings!$B$4+ROW()-4&lt;EDATE(Settings!$B$4,12),Settings!$B$4+ROW()-4,""))</f>
        <v/>
      </c>
      <c r="B12" s="9" t="str">
        <f t="shared" si="0"/>
        <v/>
      </c>
      <c r="C12" s="10" t="str">
        <f>IF(A12="","",IF(DAY(A12)&gt;=Settings!$B$5,DATE(YEAR(A12),MONTH(A12),Settings!$B$5),DATE(YEAR(EDATE(A12,-1)),MONTH(EDATE(A12,-1)),Settings!$B$5)))</f>
        <v/>
      </c>
      <c r="D12" s="8"/>
      <c r="E12" s="10" t="str">
        <f t="shared" si="1"/>
        <v/>
      </c>
      <c r="F12" s="10" t="str">
        <f>IF(A12="","",K11+Settings!$B$8)</f>
        <v/>
      </c>
      <c r="G12" s="11" t="str">
        <f t="shared" si="2"/>
        <v/>
      </c>
      <c r="H12" s="12" t="str">
        <f>IF(G12="","",G12/Settings!$B$8)</f>
        <v/>
      </c>
      <c r="I12" s="38" t="str">
        <f>IF(H12="","",H12*Settings!$B$11)</f>
        <v/>
      </c>
      <c r="J12" s="40" t="str">
        <f>IF(E12="","",IF(E12="W","Weekly Reset",IF(H12&gt;=1,"Very High Benefit; High Unused-Allowance Risk",IF(H12&gt;Settings!$B$17,"Highly Beneficial; Allowance May Be Underused",IF(H12&gt;=Settings!$B$17,"Highly Beneficial",IF(H12&gt;=0.4,"Moderate",IF(H12&gt;0,"Low Benefit","No Advance Benefit")))))))</f>
        <v/>
      </c>
      <c r="K12" s="10" t="str">
        <f t="shared" si="3"/>
        <v/>
      </c>
    </row>
    <row r="13" spans="1:11" ht="14.25" customHeight="1">
      <c r="A13" s="10" t="str">
        <f>IF(Settings!$B$4="","",IF(Settings!$B$4+ROW()-4&lt;EDATE(Settings!$B$4,12),Settings!$B$4+ROW()-4,""))</f>
        <v/>
      </c>
      <c r="B13" s="9" t="str">
        <f t="shared" si="0"/>
        <v/>
      </c>
      <c r="C13" s="10" t="str">
        <f>IF(A13="","",IF(DAY(A13)&gt;=Settings!$B$5,DATE(YEAR(A13),MONTH(A13),Settings!$B$5),DATE(YEAR(EDATE(A13,-1)),MONTH(EDATE(A13,-1)),Settings!$B$5)))</f>
        <v/>
      </c>
      <c r="D13" s="8"/>
      <c r="E13" s="10" t="str">
        <f t="shared" si="1"/>
        <v/>
      </c>
      <c r="F13" s="10" t="str">
        <f>IF(A13="","",K12+Settings!$B$8)</f>
        <v/>
      </c>
      <c r="G13" s="11" t="str">
        <f t="shared" si="2"/>
        <v/>
      </c>
      <c r="H13" s="12" t="str">
        <f>IF(G13="","",G13/Settings!$B$8)</f>
        <v/>
      </c>
      <c r="I13" s="38" t="str">
        <f>IF(H13="","",H13*Settings!$B$11)</f>
        <v/>
      </c>
      <c r="J13" s="40" t="str">
        <f>IF(E13="","",IF(E13="W","Weekly Reset",IF(H13&gt;=1,"Very High Benefit; High Unused-Allowance Risk",IF(H13&gt;Settings!$B$17,"Highly Beneficial; Allowance May Be Underused",IF(H13&gt;=Settings!$B$17,"Highly Beneficial",IF(H13&gt;=0.4,"Moderate",IF(H13&gt;0,"Low Benefit","No Advance Benefit")))))))</f>
        <v/>
      </c>
      <c r="K13" s="10" t="str">
        <f t="shared" si="3"/>
        <v/>
      </c>
    </row>
    <row r="14" spans="1:11" ht="14.25" customHeight="1">
      <c r="A14" s="10" t="str">
        <f>IF(Settings!$B$4="","",IF(Settings!$B$4+ROW()-4&lt;EDATE(Settings!$B$4,12),Settings!$B$4+ROW()-4,""))</f>
        <v/>
      </c>
      <c r="B14" s="9" t="str">
        <f t="shared" si="0"/>
        <v/>
      </c>
      <c r="C14" s="10" t="str">
        <f>IF(A14="","",IF(DAY(A14)&gt;=Settings!$B$5,DATE(YEAR(A14),MONTH(A14),Settings!$B$5),DATE(YEAR(EDATE(A14,-1)),MONTH(EDATE(A14,-1)),Settings!$B$5)))</f>
        <v/>
      </c>
      <c r="D14" s="8"/>
      <c r="E14" s="10" t="str">
        <f t="shared" si="1"/>
        <v/>
      </c>
      <c r="F14" s="10" t="str">
        <f>IF(A14="","",K13+Settings!$B$8)</f>
        <v/>
      </c>
      <c r="G14" s="11" t="str">
        <f t="shared" si="2"/>
        <v/>
      </c>
      <c r="H14" s="12" t="str">
        <f>IF(G14="","",G14/Settings!$B$8)</f>
        <v/>
      </c>
      <c r="I14" s="38" t="str">
        <f>IF(H14="","",H14*Settings!$B$11)</f>
        <v/>
      </c>
      <c r="J14" s="40" t="str">
        <f>IF(E14="","",IF(E14="W","Weekly Reset",IF(H14&gt;=1,"Very High Benefit; High Unused-Allowance Risk",IF(H14&gt;Settings!$B$17,"Highly Beneficial; Allowance May Be Underused",IF(H14&gt;=Settings!$B$17,"Highly Beneficial",IF(H14&gt;=0.4,"Moderate",IF(H14&gt;0,"Low Benefit","No Advance Benefit")))))))</f>
        <v/>
      </c>
      <c r="K14" s="10" t="str">
        <f t="shared" si="3"/>
        <v/>
      </c>
    </row>
    <row r="15" spans="1:11" ht="14.25" customHeight="1">
      <c r="A15" s="10" t="str">
        <f>IF(Settings!$B$4="","",IF(Settings!$B$4+ROW()-4&lt;EDATE(Settings!$B$4,12),Settings!$B$4+ROW()-4,""))</f>
        <v/>
      </c>
      <c r="B15" s="9" t="str">
        <f t="shared" si="0"/>
        <v/>
      </c>
      <c r="C15" s="10" t="str">
        <f>IF(A15="","",IF(DAY(A15)&gt;=Settings!$B$5,DATE(YEAR(A15),MONTH(A15),Settings!$B$5),DATE(YEAR(EDATE(A15,-1)),MONTH(EDATE(A15,-1)),Settings!$B$5)))</f>
        <v/>
      </c>
      <c r="D15" s="8"/>
      <c r="E15" s="10" t="str">
        <f t="shared" si="1"/>
        <v/>
      </c>
      <c r="F15" s="10" t="str">
        <f>IF(A15="","",K14+Settings!$B$8)</f>
        <v/>
      </c>
      <c r="G15" s="11" t="str">
        <f t="shared" si="2"/>
        <v/>
      </c>
      <c r="H15" s="12" t="str">
        <f>IF(G15="","",G15/Settings!$B$8)</f>
        <v/>
      </c>
      <c r="I15" s="38" t="str">
        <f>IF(H15="","",H15*Settings!$B$11)</f>
        <v/>
      </c>
      <c r="J15" s="40" t="str">
        <f>IF(E15="","",IF(E15="W","Weekly Reset",IF(H15&gt;=1,"Very High Benefit; High Unused-Allowance Risk",IF(H15&gt;Settings!$B$17,"Highly Beneficial; Allowance May Be Underused",IF(H15&gt;=Settings!$B$17,"Highly Beneficial",IF(H15&gt;=0.4,"Moderate",IF(H15&gt;0,"Low Benefit","No Advance Benefit")))))))</f>
        <v/>
      </c>
      <c r="K15" s="10" t="str">
        <f t="shared" si="3"/>
        <v/>
      </c>
    </row>
    <row r="16" spans="1:11" ht="14.25" customHeight="1">
      <c r="A16" s="10" t="str">
        <f>IF(Settings!$B$4="","",IF(Settings!$B$4+ROW()-4&lt;EDATE(Settings!$B$4,12),Settings!$B$4+ROW()-4,""))</f>
        <v/>
      </c>
      <c r="B16" s="9" t="str">
        <f t="shared" si="0"/>
        <v/>
      </c>
      <c r="C16" s="10" t="str">
        <f>IF(A16="","",IF(DAY(A16)&gt;=Settings!$B$5,DATE(YEAR(A16),MONTH(A16),Settings!$B$5),DATE(YEAR(EDATE(A16,-1)),MONTH(EDATE(A16,-1)),Settings!$B$5)))</f>
        <v/>
      </c>
      <c r="D16" s="8"/>
      <c r="E16" s="10" t="str">
        <f t="shared" si="1"/>
        <v/>
      </c>
      <c r="F16" s="10" t="str">
        <f>IF(A16="","",K15+Settings!$B$8)</f>
        <v/>
      </c>
      <c r="G16" s="11" t="str">
        <f t="shared" si="2"/>
        <v/>
      </c>
      <c r="H16" s="12" t="str">
        <f>IF(G16="","",G16/Settings!$B$8)</f>
        <v/>
      </c>
      <c r="I16" s="38" t="str">
        <f>IF(H16="","",H16*Settings!$B$11)</f>
        <v/>
      </c>
      <c r="J16" s="40" t="str">
        <f>IF(E16="","",IF(E16="W","Weekly Reset",IF(H16&gt;=1,"Very High Benefit; High Unused-Allowance Risk",IF(H16&gt;Settings!$B$17,"Highly Beneficial; Allowance May Be Underused",IF(H16&gt;=Settings!$B$17,"Highly Beneficial",IF(H16&gt;=0.4,"Moderate",IF(H16&gt;0,"Low Benefit","No Advance Benefit")))))))</f>
        <v/>
      </c>
      <c r="K16" s="10" t="str">
        <f t="shared" si="3"/>
        <v/>
      </c>
    </row>
    <row r="17" spans="1:11" ht="14.25" customHeight="1">
      <c r="A17" s="10" t="str">
        <f>IF(Settings!$B$4="","",IF(Settings!$B$4+ROW()-4&lt;EDATE(Settings!$B$4,12),Settings!$B$4+ROW()-4,""))</f>
        <v/>
      </c>
      <c r="B17" s="9" t="str">
        <f t="shared" si="0"/>
        <v/>
      </c>
      <c r="C17" s="10" t="str">
        <f>IF(A17="","",IF(DAY(A17)&gt;=Settings!$B$5,DATE(YEAR(A17),MONTH(A17),Settings!$B$5),DATE(YEAR(EDATE(A17,-1)),MONTH(EDATE(A17,-1)),Settings!$B$5)))</f>
        <v/>
      </c>
      <c r="D17" s="8"/>
      <c r="E17" s="10" t="str">
        <f t="shared" si="1"/>
        <v/>
      </c>
      <c r="F17" s="10" t="str">
        <f>IF(A17="","",K16+Settings!$B$8)</f>
        <v/>
      </c>
      <c r="G17" s="11" t="str">
        <f t="shared" si="2"/>
        <v/>
      </c>
      <c r="H17" s="12" t="str">
        <f>IF(G17="","",G17/Settings!$B$8)</f>
        <v/>
      </c>
      <c r="I17" s="38" t="str">
        <f>IF(H17="","",H17*Settings!$B$11)</f>
        <v/>
      </c>
      <c r="J17" s="40" t="str">
        <f>IF(E17="","",IF(E17="W","Weekly Reset",IF(H17&gt;=1,"Very High Benefit; High Unused-Allowance Risk",IF(H17&gt;Settings!$B$17,"Highly Beneficial; Allowance May Be Underused",IF(H17&gt;=Settings!$B$17,"Highly Beneficial",IF(H17&gt;=0.4,"Moderate",IF(H17&gt;0,"Low Benefit","No Advance Benefit")))))))</f>
        <v/>
      </c>
      <c r="K17" s="10" t="str">
        <f t="shared" si="3"/>
        <v/>
      </c>
    </row>
    <row r="18" spans="1:11" ht="14.25" customHeight="1">
      <c r="A18" s="10" t="str">
        <f>IF(Settings!$B$4="","",IF(Settings!$B$4+ROW()-4&lt;EDATE(Settings!$B$4,12),Settings!$B$4+ROW()-4,""))</f>
        <v/>
      </c>
      <c r="B18" s="9" t="str">
        <f t="shared" si="0"/>
        <v/>
      </c>
      <c r="C18" s="10" t="str">
        <f>IF(A18="","",IF(DAY(A18)&gt;=Settings!$B$5,DATE(YEAR(A18),MONTH(A18),Settings!$B$5),DATE(YEAR(EDATE(A18,-1)),MONTH(EDATE(A18,-1)),Settings!$B$5)))</f>
        <v/>
      </c>
      <c r="D18" s="8"/>
      <c r="E18" s="10" t="str">
        <f t="shared" si="1"/>
        <v/>
      </c>
      <c r="F18" s="10" t="str">
        <f>IF(A18="","",K17+Settings!$B$8)</f>
        <v/>
      </c>
      <c r="G18" s="11" t="str">
        <f t="shared" si="2"/>
        <v/>
      </c>
      <c r="H18" s="12" t="str">
        <f>IF(G18="","",G18/Settings!$B$8)</f>
        <v/>
      </c>
      <c r="I18" s="38" t="str">
        <f>IF(H18="","",H18*Settings!$B$11)</f>
        <v/>
      </c>
      <c r="J18" s="40" t="str">
        <f>IF(E18="","",IF(E18="W","Weekly Reset",IF(H18&gt;=1,"Very High Benefit; High Unused-Allowance Risk",IF(H18&gt;Settings!$B$17,"Highly Beneficial; Allowance May Be Underused",IF(H18&gt;=Settings!$B$17,"Highly Beneficial",IF(H18&gt;=0.4,"Moderate",IF(H18&gt;0,"Low Benefit","No Advance Benefit")))))))</f>
        <v/>
      </c>
      <c r="K18" s="10" t="str">
        <f t="shared" si="3"/>
        <v/>
      </c>
    </row>
    <row r="19" spans="1:11" ht="14.25" customHeight="1">
      <c r="A19" s="10" t="str">
        <f>IF(Settings!$B$4="","",IF(Settings!$B$4+ROW()-4&lt;EDATE(Settings!$B$4,12),Settings!$B$4+ROW()-4,""))</f>
        <v/>
      </c>
      <c r="B19" s="9" t="str">
        <f t="shared" si="0"/>
        <v/>
      </c>
      <c r="C19" s="10" t="str">
        <f>IF(A19="","",IF(DAY(A19)&gt;=Settings!$B$5,DATE(YEAR(A19),MONTH(A19),Settings!$B$5),DATE(YEAR(EDATE(A19,-1)),MONTH(EDATE(A19,-1)),Settings!$B$5)))</f>
        <v/>
      </c>
      <c r="D19" s="8"/>
      <c r="E19" s="10" t="str">
        <f t="shared" si="1"/>
        <v/>
      </c>
      <c r="F19" s="10" t="str">
        <f>IF(A19="","",K18+Settings!$B$8)</f>
        <v/>
      </c>
      <c r="G19" s="11" t="str">
        <f t="shared" si="2"/>
        <v/>
      </c>
      <c r="H19" s="12" t="str">
        <f>IF(G19="","",G19/Settings!$B$8)</f>
        <v/>
      </c>
      <c r="I19" s="38" t="str">
        <f>IF(H19="","",H19*Settings!$B$11)</f>
        <v/>
      </c>
      <c r="J19" s="40" t="str">
        <f>IF(E19="","",IF(E19="W","Weekly Reset",IF(H19&gt;=1,"Very High Benefit; High Unused-Allowance Risk",IF(H19&gt;Settings!$B$17,"Highly Beneficial; Allowance May Be Underused",IF(H19&gt;=Settings!$B$17,"Highly Beneficial",IF(H19&gt;=0.4,"Moderate",IF(H19&gt;0,"Low Benefit","No Advance Benefit")))))))</f>
        <v/>
      </c>
      <c r="K19" s="10" t="str">
        <f t="shared" si="3"/>
        <v/>
      </c>
    </row>
    <row r="20" spans="1:11" ht="14.25" customHeight="1">
      <c r="A20" s="10" t="str">
        <f>IF(Settings!$B$4="","",IF(Settings!$B$4+ROW()-4&lt;EDATE(Settings!$B$4,12),Settings!$B$4+ROW()-4,""))</f>
        <v/>
      </c>
      <c r="B20" s="9" t="str">
        <f t="shared" si="0"/>
        <v/>
      </c>
      <c r="C20" s="10" t="str">
        <f>IF(A20="","",IF(DAY(A20)&gt;=Settings!$B$5,DATE(YEAR(A20),MONTH(A20),Settings!$B$5),DATE(YEAR(EDATE(A20,-1)),MONTH(EDATE(A20,-1)),Settings!$B$5)))</f>
        <v/>
      </c>
      <c r="D20" s="8"/>
      <c r="E20" s="10" t="str">
        <f t="shared" si="1"/>
        <v/>
      </c>
      <c r="F20" s="10" t="str">
        <f>IF(A20="","",K19+Settings!$B$8)</f>
        <v/>
      </c>
      <c r="G20" s="11" t="str">
        <f t="shared" si="2"/>
        <v/>
      </c>
      <c r="H20" s="12" t="str">
        <f>IF(G20="","",G20/Settings!$B$8)</f>
        <v/>
      </c>
      <c r="I20" s="38" t="str">
        <f>IF(H20="","",H20*Settings!$B$11)</f>
        <v/>
      </c>
      <c r="J20" s="40" t="str">
        <f>IF(E20="","",IF(E20="W","Weekly Reset",IF(H20&gt;=1,"Very High Benefit; High Unused-Allowance Risk",IF(H20&gt;Settings!$B$17,"Highly Beneficial; Allowance May Be Underused",IF(H20&gt;=Settings!$B$17,"Highly Beneficial",IF(H20&gt;=0.4,"Moderate",IF(H20&gt;0,"Low Benefit","No Advance Benefit")))))))</f>
        <v/>
      </c>
      <c r="K20" s="10" t="str">
        <f t="shared" si="3"/>
        <v/>
      </c>
    </row>
    <row r="21" spans="1:11" ht="14.25" customHeight="1">
      <c r="A21" s="10" t="str">
        <f>IF(Settings!$B$4="","",IF(Settings!$B$4+ROW()-4&lt;EDATE(Settings!$B$4,12),Settings!$B$4+ROW()-4,""))</f>
        <v/>
      </c>
      <c r="B21" s="9" t="str">
        <f t="shared" si="0"/>
        <v/>
      </c>
      <c r="C21" s="10" t="str">
        <f>IF(A21="","",IF(DAY(A21)&gt;=Settings!$B$5,DATE(YEAR(A21),MONTH(A21),Settings!$B$5),DATE(YEAR(EDATE(A21,-1)),MONTH(EDATE(A21,-1)),Settings!$B$5)))</f>
        <v/>
      </c>
      <c r="D21" s="8"/>
      <c r="E21" s="10" t="str">
        <f t="shared" si="1"/>
        <v/>
      </c>
      <c r="F21" s="10" t="str">
        <f>IF(A21="","",K20+Settings!$B$8)</f>
        <v/>
      </c>
      <c r="G21" s="11" t="str">
        <f t="shared" si="2"/>
        <v/>
      </c>
      <c r="H21" s="12" t="str">
        <f>IF(G21="","",G21/Settings!$B$8)</f>
        <v/>
      </c>
      <c r="I21" s="38" t="str">
        <f>IF(H21="","",H21*Settings!$B$11)</f>
        <v/>
      </c>
      <c r="J21" s="40" t="str">
        <f>IF(E21="","",IF(E21="W","Weekly Reset",IF(H21&gt;=1,"Very High Benefit; High Unused-Allowance Risk",IF(H21&gt;Settings!$B$17,"Highly Beneficial; Allowance May Be Underused",IF(H21&gt;=Settings!$B$17,"Highly Beneficial",IF(H21&gt;=0.4,"Moderate",IF(H21&gt;0,"Low Benefit","No Advance Benefit")))))))</f>
        <v/>
      </c>
      <c r="K21" s="10" t="str">
        <f t="shared" si="3"/>
        <v/>
      </c>
    </row>
    <row r="22" spans="1:11" ht="14.25" customHeight="1">
      <c r="A22" s="10" t="str">
        <f>IF(Settings!$B$4="","",IF(Settings!$B$4+ROW()-4&lt;EDATE(Settings!$B$4,12),Settings!$B$4+ROW()-4,""))</f>
        <v/>
      </c>
      <c r="B22" s="9" t="str">
        <f t="shared" si="0"/>
        <v/>
      </c>
      <c r="C22" s="10" t="str">
        <f>IF(A22="","",IF(DAY(A22)&gt;=Settings!$B$5,DATE(YEAR(A22),MONTH(A22),Settings!$B$5),DATE(YEAR(EDATE(A22,-1)),MONTH(EDATE(A22,-1)),Settings!$B$5)))</f>
        <v/>
      </c>
      <c r="D22" s="8"/>
      <c r="E22" s="10" t="str">
        <f t="shared" si="1"/>
        <v/>
      </c>
      <c r="F22" s="10" t="str">
        <f>IF(A22="","",K21+Settings!$B$8)</f>
        <v/>
      </c>
      <c r="G22" s="11" t="str">
        <f t="shared" si="2"/>
        <v/>
      </c>
      <c r="H22" s="12" t="str">
        <f>IF(G22="","",G22/Settings!$B$8)</f>
        <v/>
      </c>
      <c r="I22" s="38" t="str">
        <f>IF(H22="","",H22*Settings!$B$11)</f>
        <v/>
      </c>
      <c r="J22" s="40" t="str">
        <f>IF(E22="","",IF(E22="W","Weekly Reset",IF(H22&gt;=1,"Very High Benefit; High Unused-Allowance Risk",IF(H22&gt;Settings!$B$17,"Highly Beneficial; Allowance May Be Underused",IF(H22&gt;=Settings!$B$17,"Highly Beneficial",IF(H22&gt;=0.4,"Moderate",IF(H22&gt;0,"Low Benefit","No Advance Benefit")))))))</f>
        <v/>
      </c>
      <c r="K22" s="10" t="str">
        <f t="shared" si="3"/>
        <v/>
      </c>
    </row>
    <row r="23" spans="1:11" ht="14.25" customHeight="1">
      <c r="A23" s="10" t="str">
        <f>IF(Settings!$B$4="","",IF(Settings!$B$4+ROW()-4&lt;EDATE(Settings!$B$4,12),Settings!$B$4+ROW()-4,""))</f>
        <v/>
      </c>
      <c r="B23" s="9" t="str">
        <f t="shared" si="0"/>
        <v/>
      </c>
      <c r="C23" s="10" t="str">
        <f>IF(A23="","",IF(DAY(A23)&gt;=Settings!$B$5,DATE(YEAR(A23),MONTH(A23),Settings!$B$5),DATE(YEAR(EDATE(A23,-1)),MONTH(EDATE(A23,-1)),Settings!$B$5)))</f>
        <v/>
      </c>
      <c r="D23" s="8"/>
      <c r="E23" s="10" t="str">
        <f t="shared" si="1"/>
        <v/>
      </c>
      <c r="F23" s="10" t="str">
        <f>IF(A23="","",K22+Settings!$B$8)</f>
        <v/>
      </c>
      <c r="G23" s="11" t="str">
        <f t="shared" si="2"/>
        <v/>
      </c>
      <c r="H23" s="12" t="str">
        <f>IF(G23="","",G23/Settings!$B$8)</f>
        <v/>
      </c>
      <c r="I23" s="38" t="str">
        <f>IF(H23="","",H23*Settings!$B$11)</f>
        <v/>
      </c>
      <c r="J23" s="40" t="str">
        <f>IF(E23="","",IF(E23="W","Weekly Reset",IF(H23&gt;=1,"Very High Benefit; High Unused-Allowance Risk",IF(H23&gt;Settings!$B$17,"Highly Beneficial; Allowance May Be Underused",IF(H23&gt;=Settings!$B$17,"Highly Beneficial",IF(H23&gt;=0.4,"Moderate",IF(H23&gt;0,"Low Benefit","No Advance Benefit")))))))</f>
        <v/>
      </c>
      <c r="K23" s="10" t="str">
        <f t="shared" si="3"/>
        <v/>
      </c>
    </row>
    <row r="24" spans="1:11" ht="14.25" customHeight="1">
      <c r="A24" s="10" t="str">
        <f>IF(Settings!$B$4="","",IF(Settings!$B$4+ROW()-4&lt;EDATE(Settings!$B$4,12),Settings!$B$4+ROW()-4,""))</f>
        <v/>
      </c>
      <c r="B24" s="9" t="str">
        <f t="shared" si="0"/>
        <v/>
      </c>
      <c r="C24" s="10" t="str">
        <f>IF(A24="","",IF(DAY(A24)&gt;=Settings!$B$5,DATE(YEAR(A24),MONTH(A24),Settings!$B$5),DATE(YEAR(EDATE(A24,-1)),MONTH(EDATE(A24,-1)),Settings!$B$5)))</f>
        <v/>
      </c>
      <c r="D24" s="8"/>
      <c r="E24" s="10" t="str">
        <f t="shared" si="1"/>
        <v/>
      </c>
      <c r="F24" s="10" t="str">
        <f>IF(A24="","",K23+Settings!$B$8)</f>
        <v/>
      </c>
      <c r="G24" s="11" t="str">
        <f t="shared" si="2"/>
        <v/>
      </c>
      <c r="H24" s="12" t="str">
        <f>IF(G24="","",G24/Settings!$B$8)</f>
        <v/>
      </c>
      <c r="I24" s="38" t="str">
        <f>IF(H24="","",H24*Settings!$B$11)</f>
        <v/>
      </c>
      <c r="J24" s="40" t="str">
        <f>IF(E24="","",IF(E24="W","Weekly Reset",IF(H24&gt;=1,"Very High Benefit; High Unused-Allowance Risk",IF(H24&gt;Settings!$B$17,"Highly Beneficial; Allowance May Be Underused",IF(H24&gt;=Settings!$B$17,"Highly Beneficial",IF(H24&gt;=0.4,"Moderate",IF(H24&gt;0,"Low Benefit","No Advance Benefit")))))))</f>
        <v/>
      </c>
      <c r="K24" s="10" t="str">
        <f t="shared" si="3"/>
        <v/>
      </c>
    </row>
    <row r="25" spans="1:11" ht="14.25" customHeight="1">
      <c r="A25" s="10" t="str">
        <f>IF(Settings!$B$4="","",IF(Settings!$B$4+ROW()-4&lt;EDATE(Settings!$B$4,12),Settings!$B$4+ROW()-4,""))</f>
        <v/>
      </c>
      <c r="B25" s="9" t="str">
        <f t="shared" si="0"/>
        <v/>
      </c>
      <c r="C25" s="10" t="str">
        <f>IF(A25="","",IF(DAY(A25)&gt;=Settings!$B$5,DATE(YEAR(A25),MONTH(A25),Settings!$B$5),DATE(YEAR(EDATE(A25,-1)),MONTH(EDATE(A25,-1)),Settings!$B$5)))</f>
        <v/>
      </c>
      <c r="D25" s="8"/>
      <c r="E25" s="10" t="str">
        <f t="shared" si="1"/>
        <v/>
      </c>
      <c r="F25" s="10" t="str">
        <f>IF(A25="","",K24+Settings!$B$8)</f>
        <v/>
      </c>
      <c r="G25" s="11" t="str">
        <f t="shared" si="2"/>
        <v/>
      </c>
      <c r="H25" s="12" t="str">
        <f>IF(G25="","",G25/Settings!$B$8)</f>
        <v/>
      </c>
      <c r="I25" s="38" t="str">
        <f>IF(H25="","",H25*Settings!$B$11)</f>
        <v/>
      </c>
      <c r="J25" s="40" t="str">
        <f>IF(E25="","",IF(E25="W","Weekly Reset",IF(H25&gt;=1,"Very High Benefit; High Unused-Allowance Risk",IF(H25&gt;Settings!$B$17,"Highly Beneficial; Allowance May Be Underused",IF(H25&gt;=Settings!$B$17,"Highly Beneficial",IF(H25&gt;=0.4,"Moderate",IF(H25&gt;0,"Low Benefit","No Advance Benefit")))))))</f>
        <v/>
      </c>
      <c r="K25" s="10" t="str">
        <f t="shared" si="3"/>
        <v/>
      </c>
    </row>
    <row r="26" spans="1:11" ht="14.25" customHeight="1">
      <c r="A26" s="10" t="str">
        <f>IF(Settings!$B$4="","",IF(Settings!$B$4+ROW()-4&lt;EDATE(Settings!$B$4,12),Settings!$B$4+ROW()-4,""))</f>
        <v/>
      </c>
      <c r="B26" s="9" t="str">
        <f t="shared" si="0"/>
        <v/>
      </c>
      <c r="C26" s="10" t="str">
        <f>IF(A26="","",IF(DAY(A26)&gt;=Settings!$B$5,DATE(YEAR(A26),MONTH(A26),Settings!$B$5),DATE(YEAR(EDATE(A26,-1)),MONTH(EDATE(A26,-1)),Settings!$B$5)))</f>
        <v/>
      </c>
      <c r="D26" s="8"/>
      <c r="E26" s="10" t="str">
        <f t="shared" si="1"/>
        <v/>
      </c>
      <c r="F26" s="10" t="str">
        <f>IF(A26="","",K25+Settings!$B$8)</f>
        <v/>
      </c>
      <c r="G26" s="11" t="str">
        <f t="shared" si="2"/>
        <v/>
      </c>
      <c r="H26" s="12" t="str">
        <f>IF(G26="","",G26/Settings!$B$8)</f>
        <v/>
      </c>
      <c r="I26" s="38" t="str">
        <f>IF(H26="","",H26*Settings!$B$11)</f>
        <v/>
      </c>
      <c r="J26" s="40" t="str">
        <f>IF(E26="","",IF(E26="W","Weekly Reset",IF(H26&gt;=1,"Very High Benefit; High Unused-Allowance Risk",IF(H26&gt;Settings!$B$17,"Highly Beneficial; Allowance May Be Underused",IF(H26&gt;=Settings!$B$17,"Highly Beneficial",IF(H26&gt;=0.4,"Moderate",IF(H26&gt;0,"Low Benefit","No Advance Benefit")))))))</f>
        <v/>
      </c>
      <c r="K26" s="10" t="str">
        <f t="shared" si="3"/>
        <v/>
      </c>
    </row>
    <row r="27" spans="1:11" ht="14.25" customHeight="1">
      <c r="A27" s="10" t="str">
        <f>IF(Settings!$B$4="","",IF(Settings!$B$4+ROW()-4&lt;EDATE(Settings!$B$4,12),Settings!$B$4+ROW()-4,""))</f>
        <v/>
      </c>
      <c r="B27" s="9" t="str">
        <f t="shared" si="0"/>
        <v/>
      </c>
      <c r="C27" s="10" t="str">
        <f>IF(A27="","",IF(DAY(A27)&gt;=Settings!$B$5,DATE(YEAR(A27),MONTH(A27),Settings!$B$5),DATE(YEAR(EDATE(A27,-1)),MONTH(EDATE(A27,-1)),Settings!$B$5)))</f>
        <v/>
      </c>
      <c r="D27" s="8"/>
      <c r="E27" s="10" t="str">
        <f t="shared" si="1"/>
        <v/>
      </c>
      <c r="F27" s="10" t="str">
        <f>IF(A27="","",K26+Settings!$B$8)</f>
        <v/>
      </c>
      <c r="G27" s="11" t="str">
        <f t="shared" si="2"/>
        <v/>
      </c>
      <c r="H27" s="12" t="str">
        <f>IF(G27="","",G27/Settings!$B$8)</f>
        <v/>
      </c>
      <c r="I27" s="38" t="str">
        <f>IF(H27="","",H27*Settings!$B$11)</f>
        <v/>
      </c>
      <c r="J27" s="40" t="str">
        <f>IF(E27="","",IF(E27="W","Weekly Reset",IF(H27&gt;=1,"Very High Benefit; High Unused-Allowance Risk",IF(H27&gt;Settings!$B$17,"Highly Beneficial; Allowance May Be Underused",IF(H27&gt;=Settings!$B$17,"Highly Beneficial",IF(H27&gt;=0.4,"Moderate",IF(H27&gt;0,"Low Benefit","No Advance Benefit")))))))</f>
        <v/>
      </c>
      <c r="K27" s="10" t="str">
        <f t="shared" si="3"/>
        <v/>
      </c>
    </row>
    <row r="28" spans="1:11" ht="14.25" customHeight="1">
      <c r="A28" s="10" t="str">
        <f>IF(Settings!$B$4="","",IF(Settings!$B$4+ROW()-4&lt;EDATE(Settings!$B$4,12),Settings!$B$4+ROW()-4,""))</f>
        <v/>
      </c>
      <c r="B28" s="9" t="str">
        <f t="shared" si="0"/>
        <v/>
      </c>
      <c r="C28" s="10" t="str">
        <f>IF(A28="","",IF(DAY(A28)&gt;=Settings!$B$5,DATE(YEAR(A28),MONTH(A28),Settings!$B$5),DATE(YEAR(EDATE(A28,-1)),MONTH(EDATE(A28,-1)),Settings!$B$5)))</f>
        <v/>
      </c>
      <c r="D28" s="8"/>
      <c r="E28" s="10" t="str">
        <f t="shared" si="1"/>
        <v/>
      </c>
      <c r="F28" s="10" t="str">
        <f>IF(A28="","",K27+Settings!$B$8)</f>
        <v/>
      </c>
      <c r="G28" s="11" t="str">
        <f t="shared" si="2"/>
        <v/>
      </c>
      <c r="H28" s="12" t="str">
        <f>IF(G28="","",G28/Settings!$B$8)</f>
        <v/>
      </c>
      <c r="I28" s="38" t="str">
        <f>IF(H28="","",H28*Settings!$B$11)</f>
        <v/>
      </c>
      <c r="J28" s="40" t="str">
        <f>IF(E28="","",IF(E28="W","Weekly Reset",IF(H28&gt;=1,"Very High Benefit; High Unused-Allowance Risk",IF(H28&gt;Settings!$B$17,"Highly Beneficial; Allowance May Be Underused",IF(H28&gt;=Settings!$B$17,"Highly Beneficial",IF(H28&gt;=0.4,"Moderate",IF(H28&gt;0,"Low Benefit","No Advance Benefit")))))))</f>
        <v/>
      </c>
      <c r="K28" s="10" t="str">
        <f t="shared" si="3"/>
        <v/>
      </c>
    </row>
    <row r="29" spans="1:11" ht="14.25" customHeight="1">
      <c r="A29" s="10" t="str">
        <f>IF(Settings!$B$4="","",IF(Settings!$B$4+ROW()-4&lt;EDATE(Settings!$B$4,12),Settings!$B$4+ROW()-4,""))</f>
        <v/>
      </c>
      <c r="B29" s="9" t="str">
        <f t="shared" si="0"/>
        <v/>
      </c>
      <c r="C29" s="10" t="str">
        <f>IF(A29="","",IF(DAY(A29)&gt;=Settings!$B$5,DATE(YEAR(A29),MONTH(A29),Settings!$B$5),DATE(YEAR(EDATE(A29,-1)),MONTH(EDATE(A29,-1)),Settings!$B$5)))</f>
        <v/>
      </c>
      <c r="D29" s="8"/>
      <c r="E29" s="10" t="str">
        <f t="shared" si="1"/>
        <v/>
      </c>
      <c r="F29" s="10" t="str">
        <f>IF(A29="","",K28+Settings!$B$8)</f>
        <v/>
      </c>
      <c r="G29" s="11" t="str">
        <f t="shared" si="2"/>
        <v/>
      </c>
      <c r="H29" s="12" t="str">
        <f>IF(G29="","",G29/Settings!$B$8)</f>
        <v/>
      </c>
      <c r="I29" s="38" t="str">
        <f>IF(H29="","",H29*Settings!$B$11)</f>
        <v/>
      </c>
      <c r="J29" s="40" t="str">
        <f>IF(E29="","",IF(E29="W","Weekly Reset",IF(H29&gt;=1,"Very High Benefit; High Unused-Allowance Risk",IF(H29&gt;Settings!$B$17,"Highly Beneficial; Allowance May Be Underused",IF(H29&gt;=Settings!$B$17,"Highly Beneficial",IF(H29&gt;=0.4,"Moderate",IF(H29&gt;0,"Low Benefit","No Advance Benefit")))))))</f>
        <v/>
      </c>
      <c r="K29" s="10" t="str">
        <f t="shared" si="3"/>
        <v/>
      </c>
    </row>
    <row r="30" spans="1:11" ht="14.25" customHeight="1">
      <c r="A30" s="10" t="str">
        <f>IF(Settings!$B$4="","",IF(Settings!$B$4+ROW()-4&lt;EDATE(Settings!$B$4,12),Settings!$B$4+ROW()-4,""))</f>
        <v/>
      </c>
      <c r="B30" s="9" t="str">
        <f t="shared" si="0"/>
        <v/>
      </c>
      <c r="C30" s="10" t="str">
        <f>IF(A30="","",IF(DAY(A30)&gt;=Settings!$B$5,DATE(YEAR(A30),MONTH(A30),Settings!$B$5),DATE(YEAR(EDATE(A30,-1)),MONTH(EDATE(A30,-1)),Settings!$B$5)))</f>
        <v/>
      </c>
      <c r="D30" s="8"/>
      <c r="E30" s="10" t="str">
        <f t="shared" si="1"/>
        <v/>
      </c>
      <c r="F30" s="10" t="str">
        <f>IF(A30="","",K29+Settings!$B$8)</f>
        <v/>
      </c>
      <c r="G30" s="11" t="str">
        <f t="shared" si="2"/>
        <v/>
      </c>
      <c r="H30" s="12" t="str">
        <f>IF(G30="","",G30/Settings!$B$8)</f>
        <v/>
      </c>
      <c r="I30" s="38" t="str">
        <f>IF(H30="","",H30*Settings!$B$11)</f>
        <v/>
      </c>
      <c r="J30" s="40" t="str">
        <f>IF(E30="","",IF(E30="W","Weekly Reset",IF(H30&gt;=1,"Very High Benefit; High Unused-Allowance Risk",IF(H30&gt;Settings!$B$17,"Highly Beneficial; Allowance May Be Underused",IF(H30&gt;=Settings!$B$17,"Highly Beneficial",IF(H30&gt;=0.4,"Moderate",IF(H30&gt;0,"Low Benefit","No Advance Benefit")))))))</f>
        <v/>
      </c>
      <c r="K30" s="10" t="str">
        <f t="shared" si="3"/>
        <v/>
      </c>
    </row>
    <row r="31" spans="1:11" ht="14.25" customHeight="1">
      <c r="A31" s="10" t="str">
        <f>IF(Settings!$B$4="","",IF(Settings!$B$4+ROW()-4&lt;EDATE(Settings!$B$4,12),Settings!$B$4+ROW()-4,""))</f>
        <v/>
      </c>
      <c r="B31" s="9" t="str">
        <f t="shared" si="0"/>
        <v/>
      </c>
      <c r="C31" s="10" t="str">
        <f>IF(A31="","",IF(DAY(A31)&gt;=Settings!$B$5,DATE(YEAR(A31),MONTH(A31),Settings!$B$5),DATE(YEAR(EDATE(A31,-1)),MONTH(EDATE(A31,-1)),Settings!$B$5)))</f>
        <v/>
      </c>
      <c r="D31" s="8"/>
      <c r="E31" s="10" t="str">
        <f t="shared" si="1"/>
        <v/>
      </c>
      <c r="F31" s="10" t="str">
        <f>IF(A31="","",K30+Settings!$B$8)</f>
        <v/>
      </c>
      <c r="G31" s="11" t="str">
        <f t="shared" si="2"/>
        <v/>
      </c>
      <c r="H31" s="12" t="str">
        <f>IF(G31="","",G31/Settings!$B$8)</f>
        <v/>
      </c>
      <c r="I31" s="38" t="str">
        <f>IF(H31="","",H31*Settings!$B$11)</f>
        <v/>
      </c>
      <c r="J31" s="40" t="str">
        <f>IF(E31="","",IF(E31="W","Weekly Reset",IF(H31&gt;=1,"Very High Benefit; High Unused-Allowance Risk",IF(H31&gt;Settings!$B$17,"Highly Beneficial; Allowance May Be Underused",IF(H31&gt;=Settings!$B$17,"Highly Beneficial",IF(H31&gt;=0.4,"Moderate",IF(H31&gt;0,"Low Benefit","No Advance Benefit")))))))</f>
        <v/>
      </c>
      <c r="K31" s="10" t="str">
        <f t="shared" si="3"/>
        <v/>
      </c>
    </row>
    <row r="32" spans="1:11" ht="14.25" customHeight="1">
      <c r="A32" s="10" t="str">
        <f>IF(Settings!$B$4="","",IF(Settings!$B$4+ROW()-4&lt;EDATE(Settings!$B$4,12),Settings!$B$4+ROW()-4,""))</f>
        <v/>
      </c>
      <c r="B32" s="9" t="str">
        <f t="shared" si="0"/>
        <v/>
      </c>
      <c r="C32" s="10" t="str">
        <f>IF(A32="","",IF(DAY(A32)&gt;=Settings!$B$5,DATE(YEAR(A32),MONTH(A32),Settings!$B$5),DATE(YEAR(EDATE(A32,-1)),MONTH(EDATE(A32,-1)),Settings!$B$5)))</f>
        <v/>
      </c>
      <c r="D32" s="8"/>
      <c r="E32" s="10" t="str">
        <f t="shared" si="1"/>
        <v/>
      </c>
      <c r="F32" s="10" t="str">
        <f>IF(A32="","",K31+Settings!$B$8)</f>
        <v/>
      </c>
      <c r="G32" s="11" t="str">
        <f t="shared" si="2"/>
        <v/>
      </c>
      <c r="H32" s="12" t="str">
        <f>IF(G32="","",G32/Settings!$B$8)</f>
        <v/>
      </c>
      <c r="I32" s="38" t="str">
        <f>IF(H32="","",H32*Settings!$B$11)</f>
        <v/>
      </c>
      <c r="J32" s="40" t="str">
        <f>IF(E32="","",IF(E32="W","Weekly Reset",IF(H32&gt;=1,"Very High Benefit; High Unused-Allowance Risk",IF(H32&gt;Settings!$B$17,"Highly Beneficial; Allowance May Be Underused",IF(H32&gt;=Settings!$B$17,"Highly Beneficial",IF(H32&gt;=0.4,"Moderate",IF(H32&gt;0,"Low Benefit","No Advance Benefit")))))))</f>
        <v/>
      </c>
      <c r="K32" s="10" t="str">
        <f t="shared" si="3"/>
        <v/>
      </c>
    </row>
    <row r="33" spans="1:11" ht="14.25" customHeight="1">
      <c r="A33" s="10" t="str">
        <f>IF(Settings!$B$4="","",IF(Settings!$B$4+ROW()-4&lt;EDATE(Settings!$B$4,12),Settings!$B$4+ROW()-4,""))</f>
        <v/>
      </c>
      <c r="B33" s="9" t="str">
        <f t="shared" si="0"/>
        <v/>
      </c>
      <c r="C33" s="10" t="str">
        <f>IF(A33="","",IF(DAY(A33)&gt;=Settings!$B$5,DATE(YEAR(A33),MONTH(A33),Settings!$B$5),DATE(YEAR(EDATE(A33,-1)),MONTH(EDATE(A33,-1)),Settings!$B$5)))</f>
        <v/>
      </c>
      <c r="D33" s="8"/>
      <c r="E33" s="10" t="str">
        <f t="shared" si="1"/>
        <v/>
      </c>
      <c r="F33" s="10" t="str">
        <f>IF(A33="","",K32+Settings!$B$8)</f>
        <v/>
      </c>
      <c r="G33" s="11" t="str">
        <f t="shared" si="2"/>
        <v/>
      </c>
      <c r="H33" s="12" t="str">
        <f>IF(G33="","",G33/Settings!$B$8)</f>
        <v/>
      </c>
      <c r="I33" s="38" t="str">
        <f>IF(H33="","",H33*Settings!$B$11)</f>
        <v/>
      </c>
      <c r="J33" s="40" t="str">
        <f>IF(E33="","",IF(E33="W","Weekly Reset",IF(H33&gt;=1,"Very High Benefit; High Unused-Allowance Risk",IF(H33&gt;Settings!$B$17,"Highly Beneficial; Allowance May Be Underused",IF(H33&gt;=Settings!$B$17,"Highly Beneficial",IF(H33&gt;=0.4,"Moderate",IF(H33&gt;0,"Low Benefit","No Advance Benefit")))))))</f>
        <v/>
      </c>
      <c r="K33" s="10" t="str">
        <f t="shared" si="3"/>
        <v/>
      </c>
    </row>
    <row r="34" spans="1:11" ht="14.25" customHeight="1">
      <c r="A34" s="10" t="str">
        <f>IF(Settings!$B$4="","",IF(Settings!$B$4+ROW()-4&lt;EDATE(Settings!$B$4,12),Settings!$B$4+ROW()-4,""))</f>
        <v/>
      </c>
      <c r="B34" s="9" t="str">
        <f t="shared" si="0"/>
        <v/>
      </c>
      <c r="C34" s="10" t="str">
        <f>IF(A34="","",IF(DAY(A34)&gt;=Settings!$B$5,DATE(YEAR(A34),MONTH(A34),Settings!$B$5),DATE(YEAR(EDATE(A34,-1)),MONTH(EDATE(A34,-1)),Settings!$B$5)))</f>
        <v/>
      </c>
      <c r="D34" s="8"/>
      <c r="E34" s="10" t="str">
        <f t="shared" si="1"/>
        <v/>
      </c>
      <c r="F34" s="10" t="str">
        <f>IF(A34="","",K33+Settings!$B$8)</f>
        <v/>
      </c>
      <c r="G34" s="11" t="str">
        <f t="shared" si="2"/>
        <v/>
      </c>
      <c r="H34" s="12" t="str">
        <f>IF(G34="","",G34/Settings!$B$8)</f>
        <v/>
      </c>
      <c r="I34" s="38" t="str">
        <f>IF(H34="","",H34*Settings!$B$11)</f>
        <v/>
      </c>
      <c r="J34" s="40" t="str">
        <f>IF(E34="","",IF(E34="W","Weekly Reset",IF(H34&gt;=1,"Very High Benefit; High Unused-Allowance Risk",IF(H34&gt;Settings!$B$17,"Highly Beneficial; Allowance May Be Underused",IF(H34&gt;=Settings!$B$17,"Highly Beneficial",IF(H34&gt;=0.4,"Moderate",IF(H34&gt;0,"Low Benefit","No Advance Benefit")))))))</f>
        <v/>
      </c>
      <c r="K34" s="10" t="str">
        <f t="shared" si="3"/>
        <v/>
      </c>
    </row>
    <row r="35" spans="1:11" ht="14.25" customHeight="1">
      <c r="A35" s="10" t="str">
        <f>IF(Settings!$B$4="","",IF(Settings!$B$4+ROW()-4&lt;EDATE(Settings!$B$4,12),Settings!$B$4+ROW()-4,""))</f>
        <v/>
      </c>
      <c r="B35" s="9" t="str">
        <f t="shared" si="0"/>
        <v/>
      </c>
      <c r="C35" s="10" t="str">
        <f>IF(A35="","",IF(DAY(A35)&gt;=Settings!$B$5,DATE(YEAR(A35),MONTH(A35),Settings!$B$5),DATE(YEAR(EDATE(A35,-1)),MONTH(EDATE(A35,-1)),Settings!$B$5)))</f>
        <v/>
      </c>
      <c r="D35" s="8"/>
      <c r="E35" s="10" t="str">
        <f t="shared" si="1"/>
        <v/>
      </c>
      <c r="F35" s="10" t="str">
        <f>IF(A35="","",K34+Settings!$B$8)</f>
        <v/>
      </c>
      <c r="G35" s="11" t="str">
        <f t="shared" si="2"/>
        <v/>
      </c>
      <c r="H35" s="12" t="str">
        <f>IF(G35="","",G35/Settings!$B$8)</f>
        <v/>
      </c>
      <c r="I35" s="38" t="str">
        <f>IF(H35="","",H35*Settings!$B$11)</f>
        <v/>
      </c>
      <c r="J35" s="40" t="str">
        <f>IF(E35="","",IF(E35="W","Weekly Reset",IF(H35&gt;=1,"Very High Benefit; High Unused-Allowance Risk",IF(H35&gt;Settings!$B$17,"Highly Beneficial; Allowance May Be Underused",IF(H35&gt;=Settings!$B$17,"Highly Beneficial",IF(H35&gt;=0.4,"Moderate",IF(H35&gt;0,"Low Benefit","No Advance Benefit")))))))</f>
        <v/>
      </c>
      <c r="K35" s="10" t="str">
        <f t="shared" si="3"/>
        <v/>
      </c>
    </row>
    <row r="36" spans="1:11" ht="14.25" customHeight="1">
      <c r="A36" s="10" t="str">
        <f>IF(Settings!$B$4="","",IF(Settings!$B$4+ROW()-4&lt;EDATE(Settings!$B$4,12),Settings!$B$4+ROW()-4,""))</f>
        <v/>
      </c>
      <c r="B36" s="9" t="str">
        <f t="shared" si="0"/>
        <v/>
      </c>
      <c r="C36" s="10" t="str">
        <f>IF(A36="","",IF(DAY(A36)&gt;=Settings!$B$5,DATE(YEAR(A36),MONTH(A36),Settings!$B$5),DATE(YEAR(EDATE(A36,-1)),MONTH(EDATE(A36,-1)),Settings!$B$5)))</f>
        <v/>
      </c>
      <c r="D36" s="8"/>
      <c r="E36" s="10" t="str">
        <f t="shared" si="1"/>
        <v/>
      </c>
      <c r="F36" s="10" t="str">
        <f>IF(A36="","",K35+Settings!$B$8)</f>
        <v/>
      </c>
      <c r="G36" s="11" t="str">
        <f t="shared" si="2"/>
        <v/>
      </c>
      <c r="H36" s="12" t="str">
        <f>IF(G36="","",G36/Settings!$B$8)</f>
        <v/>
      </c>
      <c r="I36" s="38" t="str">
        <f>IF(H36="","",H36*Settings!$B$11)</f>
        <v/>
      </c>
      <c r="J36" s="40" t="str">
        <f>IF(E36="","",IF(E36="W","Weekly Reset",IF(H36&gt;=1,"Very High Benefit; High Unused-Allowance Risk",IF(H36&gt;Settings!$B$17,"Highly Beneficial; Allowance May Be Underused",IF(H36&gt;=Settings!$B$17,"Highly Beneficial",IF(H36&gt;=0.4,"Moderate",IF(H36&gt;0,"Low Benefit","No Advance Benefit")))))))</f>
        <v/>
      </c>
      <c r="K36" s="10" t="str">
        <f t="shared" si="3"/>
        <v/>
      </c>
    </row>
    <row r="37" spans="1:11" ht="14.25" customHeight="1">
      <c r="A37" s="10" t="str">
        <f>IF(Settings!$B$4="","",IF(Settings!$B$4+ROW()-4&lt;EDATE(Settings!$B$4,12),Settings!$B$4+ROW()-4,""))</f>
        <v/>
      </c>
      <c r="B37" s="9" t="str">
        <f t="shared" si="0"/>
        <v/>
      </c>
      <c r="C37" s="10" t="str">
        <f>IF(A37="","",IF(DAY(A37)&gt;=Settings!$B$5,DATE(YEAR(A37),MONTH(A37),Settings!$B$5),DATE(YEAR(EDATE(A37,-1)),MONTH(EDATE(A37,-1)),Settings!$B$5)))</f>
        <v/>
      </c>
      <c r="D37" s="8"/>
      <c r="E37" s="10" t="str">
        <f t="shared" si="1"/>
        <v/>
      </c>
      <c r="F37" s="10" t="str">
        <f>IF(A37="","",K36+Settings!$B$8)</f>
        <v/>
      </c>
      <c r="G37" s="11" t="str">
        <f t="shared" si="2"/>
        <v/>
      </c>
      <c r="H37" s="12" t="str">
        <f>IF(G37="","",G37/Settings!$B$8)</f>
        <v/>
      </c>
      <c r="I37" s="38" t="str">
        <f>IF(H37="","",H37*Settings!$B$11)</f>
        <v/>
      </c>
      <c r="J37" s="40" t="str">
        <f>IF(E37="","",IF(E37="W","Weekly Reset",IF(H37&gt;=1,"Very High Benefit; High Unused-Allowance Risk",IF(H37&gt;Settings!$B$17,"Highly Beneficial; Allowance May Be Underused",IF(H37&gt;=Settings!$B$17,"Highly Beneficial",IF(H37&gt;=0.4,"Moderate",IF(H37&gt;0,"Low Benefit","No Advance Benefit")))))))</f>
        <v/>
      </c>
      <c r="K37" s="10" t="str">
        <f t="shared" si="3"/>
        <v/>
      </c>
    </row>
    <row r="38" spans="1:11" ht="14.25" customHeight="1">
      <c r="A38" s="10" t="str">
        <f>IF(Settings!$B$4="","",IF(Settings!$B$4+ROW()-4&lt;EDATE(Settings!$B$4,12),Settings!$B$4+ROW()-4,""))</f>
        <v/>
      </c>
      <c r="B38" s="9" t="str">
        <f t="shared" si="0"/>
        <v/>
      </c>
      <c r="C38" s="10" t="str">
        <f>IF(A38="","",IF(DAY(A38)&gt;=Settings!$B$5,DATE(YEAR(A38),MONTH(A38),Settings!$B$5),DATE(YEAR(EDATE(A38,-1)),MONTH(EDATE(A38,-1)),Settings!$B$5)))</f>
        <v/>
      </c>
      <c r="D38" s="8"/>
      <c r="E38" s="10" t="str">
        <f t="shared" si="1"/>
        <v/>
      </c>
      <c r="F38" s="10" t="str">
        <f>IF(A38="","",K37+Settings!$B$8)</f>
        <v/>
      </c>
      <c r="G38" s="11" t="str">
        <f t="shared" si="2"/>
        <v/>
      </c>
      <c r="H38" s="12" t="str">
        <f>IF(G38="","",G38/Settings!$B$8)</f>
        <v/>
      </c>
      <c r="I38" s="38" t="str">
        <f>IF(H38="","",H38*Settings!$B$11)</f>
        <v/>
      </c>
      <c r="J38" s="40" t="str">
        <f>IF(E38="","",IF(E38="W","Weekly Reset",IF(H38&gt;=1,"Very High Benefit; High Unused-Allowance Risk",IF(H38&gt;Settings!$B$17,"Highly Beneficial; Allowance May Be Underused",IF(H38&gt;=Settings!$B$17,"Highly Beneficial",IF(H38&gt;=0.4,"Moderate",IF(H38&gt;0,"Low Benefit","No Advance Benefit")))))))</f>
        <v/>
      </c>
      <c r="K38" s="10" t="str">
        <f t="shared" si="3"/>
        <v/>
      </c>
    </row>
    <row r="39" spans="1:11" ht="14.25" customHeight="1">
      <c r="A39" s="10" t="str">
        <f>IF(Settings!$B$4="","",IF(Settings!$B$4+ROW()-4&lt;EDATE(Settings!$B$4,12),Settings!$B$4+ROW()-4,""))</f>
        <v/>
      </c>
      <c r="B39" s="9" t="str">
        <f t="shared" si="0"/>
        <v/>
      </c>
      <c r="C39" s="10" t="str">
        <f>IF(A39="","",IF(DAY(A39)&gt;=Settings!$B$5,DATE(YEAR(A39),MONTH(A39),Settings!$B$5),DATE(YEAR(EDATE(A39,-1)),MONTH(EDATE(A39,-1)),Settings!$B$5)))</f>
        <v/>
      </c>
      <c r="D39" s="8"/>
      <c r="E39" s="10" t="str">
        <f t="shared" si="1"/>
        <v/>
      </c>
      <c r="F39" s="10" t="str">
        <f>IF(A39="","",K38+Settings!$B$8)</f>
        <v/>
      </c>
      <c r="G39" s="11" t="str">
        <f t="shared" si="2"/>
        <v/>
      </c>
      <c r="H39" s="12" t="str">
        <f>IF(G39="","",G39/Settings!$B$8)</f>
        <v/>
      </c>
      <c r="I39" s="38" t="str">
        <f>IF(H39="","",H39*Settings!$B$11)</f>
        <v/>
      </c>
      <c r="J39" s="40" t="str">
        <f>IF(E39="","",IF(E39="W","Weekly Reset",IF(H39&gt;=1,"Very High Benefit; High Unused-Allowance Risk",IF(H39&gt;Settings!$B$17,"Highly Beneficial; Allowance May Be Underused",IF(H39&gt;=Settings!$B$17,"Highly Beneficial",IF(H39&gt;=0.4,"Moderate",IF(H39&gt;0,"Low Benefit","No Advance Benefit")))))))</f>
        <v/>
      </c>
      <c r="K39" s="10" t="str">
        <f t="shared" si="3"/>
        <v/>
      </c>
    </row>
    <row r="40" spans="1:11" ht="14.25" customHeight="1">
      <c r="A40" s="10" t="str">
        <f>IF(Settings!$B$4="","",IF(Settings!$B$4+ROW()-4&lt;EDATE(Settings!$B$4,12),Settings!$B$4+ROW()-4,""))</f>
        <v/>
      </c>
      <c r="B40" s="9" t="str">
        <f t="shared" si="0"/>
        <v/>
      </c>
      <c r="C40" s="10" t="str">
        <f>IF(A40="","",IF(DAY(A40)&gt;=Settings!$B$5,DATE(YEAR(A40),MONTH(A40),Settings!$B$5),DATE(YEAR(EDATE(A40,-1)),MONTH(EDATE(A40,-1)),Settings!$B$5)))</f>
        <v/>
      </c>
      <c r="D40" s="8"/>
      <c r="E40" s="10" t="str">
        <f t="shared" si="1"/>
        <v/>
      </c>
      <c r="F40" s="10" t="str">
        <f>IF(A40="","",K39+Settings!$B$8)</f>
        <v/>
      </c>
      <c r="G40" s="11" t="str">
        <f t="shared" si="2"/>
        <v/>
      </c>
      <c r="H40" s="12" t="str">
        <f>IF(G40="","",G40/Settings!$B$8)</f>
        <v/>
      </c>
      <c r="I40" s="38" t="str">
        <f>IF(H40="","",H40*Settings!$B$11)</f>
        <v/>
      </c>
      <c r="J40" s="40" t="str">
        <f>IF(E40="","",IF(E40="W","Weekly Reset",IF(H40&gt;=1,"Very High Benefit; High Unused-Allowance Risk",IF(H40&gt;Settings!$B$17,"Highly Beneficial; Allowance May Be Underused",IF(H40&gt;=Settings!$B$17,"Highly Beneficial",IF(H40&gt;=0.4,"Moderate",IF(H40&gt;0,"Low Benefit","No Advance Benefit")))))))</f>
        <v/>
      </c>
      <c r="K40" s="10" t="str">
        <f t="shared" si="3"/>
        <v/>
      </c>
    </row>
    <row r="41" spans="1:11" ht="14.25" customHeight="1">
      <c r="A41" s="10" t="str">
        <f>IF(Settings!$B$4="","",IF(Settings!$B$4+ROW()-4&lt;EDATE(Settings!$B$4,12),Settings!$B$4+ROW()-4,""))</f>
        <v/>
      </c>
      <c r="B41" s="9" t="str">
        <f t="shared" si="0"/>
        <v/>
      </c>
      <c r="C41" s="10" t="str">
        <f>IF(A41="","",IF(DAY(A41)&gt;=Settings!$B$5,DATE(YEAR(A41),MONTH(A41),Settings!$B$5),DATE(YEAR(EDATE(A41,-1)),MONTH(EDATE(A41,-1)),Settings!$B$5)))</f>
        <v/>
      </c>
      <c r="D41" s="8"/>
      <c r="E41" s="10" t="str">
        <f t="shared" si="1"/>
        <v/>
      </c>
      <c r="F41" s="10" t="str">
        <f>IF(A41="","",K40+Settings!$B$8)</f>
        <v/>
      </c>
      <c r="G41" s="11" t="str">
        <f t="shared" si="2"/>
        <v/>
      </c>
      <c r="H41" s="12" t="str">
        <f>IF(G41="","",G41/Settings!$B$8)</f>
        <v/>
      </c>
      <c r="I41" s="38" t="str">
        <f>IF(H41="","",H41*Settings!$B$11)</f>
        <v/>
      </c>
      <c r="J41" s="40" t="str">
        <f>IF(E41="","",IF(E41="W","Weekly Reset",IF(H41&gt;=1,"Very High Benefit; High Unused-Allowance Risk",IF(H41&gt;Settings!$B$17,"Highly Beneficial; Allowance May Be Underused",IF(H41&gt;=Settings!$B$17,"Highly Beneficial",IF(H41&gt;=0.4,"Moderate",IF(H41&gt;0,"Low Benefit","No Advance Benefit")))))))</f>
        <v/>
      </c>
      <c r="K41" s="10" t="str">
        <f t="shared" si="3"/>
        <v/>
      </c>
    </row>
    <row r="42" spans="1:11" ht="14.25" customHeight="1">
      <c r="A42" s="10" t="str">
        <f>IF(Settings!$B$4="","",IF(Settings!$B$4+ROW()-4&lt;EDATE(Settings!$B$4,12),Settings!$B$4+ROW()-4,""))</f>
        <v/>
      </c>
      <c r="B42" s="9" t="str">
        <f t="shared" si="0"/>
        <v/>
      </c>
      <c r="C42" s="10" t="str">
        <f>IF(A42="","",IF(DAY(A42)&gt;=Settings!$B$5,DATE(YEAR(A42),MONTH(A42),Settings!$B$5),DATE(YEAR(EDATE(A42,-1)),MONTH(EDATE(A42,-1)),Settings!$B$5)))</f>
        <v/>
      </c>
      <c r="D42" s="8"/>
      <c r="E42" s="10" t="str">
        <f t="shared" si="1"/>
        <v/>
      </c>
      <c r="F42" s="10" t="str">
        <f>IF(A42="","",K41+Settings!$B$8)</f>
        <v/>
      </c>
      <c r="G42" s="11" t="str">
        <f t="shared" si="2"/>
        <v/>
      </c>
      <c r="H42" s="12" t="str">
        <f>IF(G42="","",G42/Settings!$B$8)</f>
        <v/>
      </c>
      <c r="I42" s="38" t="str">
        <f>IF(H42="","",H42*Settings!$B$11)</f>
        <v/>
      </c>
      <c r="J42" s="40" t="str">
        <f>IF(E42="","",IF(E42="W","Weekly Reset",IF(H42&gt;=1,"Very High Benefit; High Unused-Allowance Risk",IF(H42&gt;Settings!$B$17,"Highly Beneficial; Allowance May Be Underused",IF(H42&gt;=Settings!$B$17,"Highly Beneficial",IF(H42&gt;=0.4,"Moderate",IF(H42&gt;0,"Low Benefit","No Advance Benefit")))))))</f>
        <v/>
      </c>
      <c r="K42" s="10" t="str">
        <f t="shared" si="3"/>
        <v/>
      </c>
    </row>
    <row r="43" spans="1:11" ht="14.25" customHeight="1">
      <c r="A43" s="10" t="str">
        <f>IF(Settings!$B$4="","",IF(Settings!$B$4+ROW()-4&lt;EDATE(Settings!$B$4,12),Settings!$B$4+ROW()-4,""))</f>
        <v/>
      </c>
      <c r="B43" s="9" t="str">
        <f t="shared" si="0"/>
        <v/>
      </c>
      <c r="C43" s="10" t="str">
        <f>IF(A43="","",IF(DAY(A43)&gt;=Settings!$B$5,DATE(YEAR(A43),MONTH(A43),Settings!$B$5),DATE(YEAR(EDATE(A43,-1)),MONTH(EDATE(A43,-1)),Settings!$B$5)))</f>
        <v/>
      </c>
      <c r="D43" s="8"/>
      <c r="E43" s="10" t="str">
        <f t="shared" si="1"/>
        <v/>
      </c>
      <c r="F43" s="10" t="str">
        <f>IF(A43="","",K42+Settings!$B$8)</f>
        <v/>
      </c>
      <c r="G43" s="11" t="str">
        <f t="shared" si="2"/>
        <v/>
      </c>
      <c r="H43" s="12" t="str">
        <f>IF(G43="","",G43/Settings!$B$8)</f>
        <v/>
      </c>
      <c r="I43" s="38" t="str">
        <f>IF(H43="","",H43*Settings!$B$11)</f>
        <v/>
      </c>
      <c r="J43" s="40" t="str">
        <f>IF(E43="","",IF(E43="W","Weekly Reset",IF(H43&gt;=1,"Very High Benefit; High Unused-Allowance Risk",IF(H43&gt;Settings!$B$17,"Highly Beneficial; Allowance May Be Underused",IF(H43&gt;=Settings!$B$17,"Highly Beneficial",IF(H43&gt;=0.4,"Moderate",IF(H43&gt;0,"Low Benefit","No Advance Benefit")))))))</f>
        <v/>
      </c>
      <c r="K43" s="10" t="str">
        <f t="shared" si="3"/>
        <v/>
      </c>
    </row>
    <row r="44" spans="1:11" ht="14.25" customHeight="1">
      <c r="A44" s="10" t="str">
        <f>IF(Settings!$B$4="","",IF(Settings!$B$4+ROW()-4&lt;EDATE(Settings!$B$4,12),Settings!$B$4+ROW()-4,""))</f>
        <v/>
      </c>
      <c r="B44" s="9" t="str">
        <f t="shared" si="0"/>
        <v/>
      </c>
      <c r="C44" s="10" t="str">
        <f>IF(A44="","",IF(DAY(A44)&gt;=Settings!$B$5,DATE(YEAR(A44),MONTH(A44),Settings!$B$5),DATE(YEAR(EDATE(A44,-1)),MONTH(EDATE(A44,-1)),Settings!$B$5)))</f>
        <v/>
      </c>
      <c r="D44" s="8"/>
      <c r="E44" s="10" t="str">
        <f t="shared" si="1"/>
        <v/>
      </c>
      <c r="F44" s="10" t="str">
        <f>IF(A44="","",K43+Settings!$B$8)</f>
        <v/>
      </c>
      <c r="G44" s="11" t="str">
        <f t="shared" si="2"/>
        <v/>
      </c>
      <c r="H44" s="12" t="str">
        <f>IF(G44="","",G44/Settings!$B$8)</f>
        <v/>
      </c>
      <c r="I44" s="38" t="str">
        <f>IF(H44="","",H44*Settings!$B$11)</f>
        <v/>
      </c>
      <c r="J44" s="40" t="str">
        <f>IF(E44="","",IF(E44="W","Weekly Reset",IF(H44&gt;=1,"Very High Benefit; High Unused-Allowance Risk",IF(H44&gt;Settings!$B$17,"Highly Beneficial; Allowance May Be Underused",IF(H44&gt;=Settings!$B$17,"Highly Beneficial",IF(H44&gt;=0.4,"Moderate",IF(H44&gt;0,"Low Benefit","No Advance Benefit")))))))</f>
        <v/>
      </c>
      <c r="K44" s="10" t="str">
        <f t="shared" si="3"/>
        <v/>
      </c>
    </row>
    <row r="45" spans="1:11" ht="14.25" customHeight="1">
      <c r="A45" s="10" t="str">
        <f>IF(Settings!$B$4="","",IF(Settings!$B$4+ROW()-4&lt;EDATE(Settings!$B$4,12),Settings!$B$4+ROW()-4,""))</f>
        <v/>
      </c>
      <c r="B45" s="9" t="str">
        <f t="shared" si="0"/>
        <v/>
      </c>
      <c r="C45" s="10" t="str">
        <f>IF(A45="","",IF(DAY(A45)&gt;=Settings!$B$5,DATE(YEAR(A45),MONTH(A45),Settings!$B$5),DATE(YEAR(EDATE(A45,-1)),MONTH(EDATE(A45,-1)),Settings!$B$5)))</f>
        <v/>
      </c>
      <c r="D45" s="8"/>
      <c r="E45" s="10" t="str">
        <f t="shared" si="1"/>
        <v/>
      </c>
      <c r="F45" s="10" t="str">
        <f>IF(A45="","",K44+Settings!$B$8)</f>
        <v/>
      </c>
      <c r="G45" s="11" t="str">
        <f t="shared" si="2"/>
        <v/>
      </c>
      <c r="H45" s="12" t="str">
        <f>IF(G45="","",G45/Settings!$B$8)</f>
        <v/>
      </c>
      <c r="I45" s="38" t="str">
        <f>IF(H45="","",H45*Settings!$B$11)</f>
        <v/>
      </c>
      <c r="J45" s="40" t="str">
        <f>IF(E45="","",IF(E45="W","Weekly Reset",IF(H45&gt;=1,"Very High Benefit; High Unused-Allowance Risk",IF(H45&gt;Settings!$B$17,"Highly Beneficial; Allowance May Be Underused",IF(H45&gt;=Settings!$B$17,"Highly Beneficial",IF(H45&gt;=0.4,"Moderate",IF(H45&gt;0,"Low Benefit","No Advance Benefit")))))))</f>
        <v/>
      </c>
      <c r="K45" s="10" t="str">
        <f t="shared" si="3"/>
        <v/>
      </c>
    </row>
    <row r="46" spans="1:11" ht="14.25" customHeight="1">
      <c r="A46" s="10" t="str">
        <f>IF(Settings!$B$4="","",IF(Settings!$B$4+ROW()-4&lt;EDATE(Settings!$B$4,12),Settings!$B$4+ROW()-4,""))</f>
        <v/>
      </c>
      <c r="B46" s="9" t="str">
        <f t="shared" si="0"/>
        <v/>
      </c>
      <c r="C46" s="10" t="str">
        <f>IF(A46="","",IF(DAY(A46)&gt;=Settings!$B$5,DATE(YEAR(A46),MONTH(A46),Settings!$B$5),DATE(YEAR(EDATE(A46,-1)),MONTH(EDATE(A46,-1)),Settings!$B$5)))</f>
        <v/>
      </c>
      <c r="D46" s="8"/>
      <c r="E46" s="10" t="str">
        <f t="shared" si="1"/>
        <v/>
      </c>
      <c r="F46" s="10" t="str">
        <f>IF(A46="","",K45+Settings!$B$8)</f>
        <v/>
      </c>
      <c r="G46" s="11" t="str">
        <f t="shared" si="2"/>
        <v/>
      </c>
      <c r="H46" s="12" t="str">
        <f>IF(G46="","",G46/Settings!$B$8)</f>
        <v/>
      </c>
      <c r="I46" s="38" t="str">
        <f>IF(H46="","",H46*Settings!$B$11)</f>
        <v/>
      </c>
      <c r="J46" s="40" t="str">
        <f>IF(E46="","",IF(E46="W","Weekly Reset",IF(H46&gt;=1,"Very High Benefit; High Unused-Allowance Risk",IF(H46&gt;Settings!$B$17,"Highly Beneficial; Allowance May Be Underused",IF(H46&gt;=Settings!$B$17,"Highly Beneficial",IF(H46&gt;=0.4,"Moderate",IF(H46&gt;0,"Low Benefit","No Advance Benefit")))))))</f>
        <v/>
      </c>
      <c r="K46" s="10" t="str">
        <f t="shared" si="3"/>
        <v/>
      </c>
    </row>
    <row r="47" spans="1:11" ht="14.25" customHeight="1">
      <c r="A47" s="10" t="str">
        <f>IF(Settings!$B$4="","",IF(Settings!$B$4+ROW()-4&lt;EDATE(Settings!$B$4,12),Settings!$B$4+ROW()-4,""))</f>
        <v/>
      </c>
      <c r="B47" s="9" t="str">
        <f t="shared" si="0"/>
        <v/>
      </c>
      <c r="C47" s="10" t="str">
        <f>IF(A47="","",IF(DAY(A47)&gt;=Settings!$B$5,DATE(YEAR(A47),MONTH(A47),Settings!$B$5),DATE(YEAR(EDATE(A47,-1)),MONTH(EDATE(A47,-1)),Settings!$B$5)))</f>
        <v/>
      </c>
      <c r="D47" s="8"/>
      <c r="E47" s="10" t="str">
        <f t="shared" si="1"/>
        <v/>
      </c>
      <c r="F47" s="10" t="str">
        <f>IF(A47="","",K46+Settings!$B$8)</f>
        <v/>
      </c>
      <c r="G47" s="11" t="str">
        <f t="shared" si="2"/>
        <v/>
      </c>
      <c r="H47" s="12" t="str">
        <f>IF(G47="","",G47/Settings!$B$8)</f>
        <v/>
      </c>
      <c r="I47" s="38" t="str">
        <f>IF(H47="","",H47*Settings!$B$11)</f>
        <v/>
      </c>
      <c r="J47" s="40" t="str">
        <f>IF(E47="","",IF(E47="W","Weekly Reset",IF(H47&gt;=1,"Very High Benefit; High Unused-Allowance Risk",IF(H47&gt;Settings!$B$17,"Highly Beneficial; Allowance May Be Underused",IF(H47&gt;=Settings!$B$17,"Highly Beneficial",IF(H47&gt;=0.4,"Moderate",IF(H47&gt;0,"Low Benefit","No Advance Benefit")))))))</f>
        <v/>
      </c>
      <c r="K47" s="10" t="str">
        <f t="shared" si="3"/>
        <v/>
      </c>
    </row>
    <row r="48" spans="1:11" ht="14.25" customHeight="1">
      <c r="A48" s="10" t="str">
        <f>IF(Settings!$B$4="","",IF(Settings!$B$4+ROW()-4&lt;EDATE(Settings!$B$4,12),Settings!$B$4+ROW()-4,""))</f>
        <v/>
      </c>
      <c r="B48" s="9" t="str">
        <f t="shared" si="0"/>
        <v/>
      </c>
      <c r="C48" s="10" t="str">
        <f>IF(A48="","",IF(DAY(A48)&gt;=Settings!$B$5,DATE(YEAR(A48),MONTH(A48),Settings!$B$5),DATE(YEAR(EDATE(A48,-1)),MONTH(EDATE(A48,-1)),Settings!$B$5)))</f>
        <v/>
      </c>
      <c r="D48" s="8"/>
      <c r="E48" s="10" t="str">
        <f t="shared" si="1"/>
        <v/>
      </c>
      <c r="F48" s="10" t="str">
        <f>IF(A48="","",K47+Settings!$B$8)</f>
        <v/>
      </c>
      <c r="G48" s="11" t="str">
        <f t="shared" si="2"/>
        <v/>
      </c>
      <c r="H48" s="12" t="str">
        <f>IF(G48="","",G48/Settings!$B$8)</f>
        <v/>
      </c>
      <c r="I48" s="38" t="str">
        <f>IF(H48="","",H48*Settings!$B$11)</f>
        <v/>
      </c>
      <c r="J48" s="40" t="str">
        <f>IF(E48="","",IF(E48="W","Weekly Reset",IF(H48&gt;=1,"Very High Benefit; High Unused-Allowance Risk",IF(H48&gt;Settings!$B$17,"Highly Beneficial; Allowance May Be Underused",IF(H48&gt;=Settings!$B$17,"Highly Beneficial",IF(H48&gt;=0.4,"Moderate",IF(H48&gt;0,"Low Benefit","No Advance Benefit")))))))</f>
        <v/>
      </c>
      <c r="K48" s="10" t="str">
        <f t="shared" si="3"/>
        <v/>
      </c>
    </row>
    <row r="49" spans="1:11" ht="14.25" customHeight="1">
      <c r="A49" s="10" t="str">
        <f>IF(Settings!$B$4="","",IF(Settings!$B$4+ROW()-4&lt;EDATE(Settings!$B$4,12),Settings!$B$4+ROW()-4,""))</f>
        <v/>
      </c>
      <c r="B49" s="9" t="str">
        <f t="shared" si="0"/>
        <v/>
      </c>
      <c r="C49" s="10" t="str">
        <f>IF(A49="","",IF(DAY(A49)&gt;=Settings!$B$5,DATE(YEAR(A49),MONTH(A49),Settings!$B$5),DATE(YEAR(EDATE(A49,-1)),MONTH(EDATE(A49,-1)),Settings!$B$5)))</f>
        <v/>
      </c>
      <c r="D49" s="8"/>
      <c r="E49" s="10" t="str">
        <f t="shared" si="1"/>
        <v/>
      </c>
      <c r="F49" s="10" t="str">
        <f>IF(A49="","",K48+Settings!$B$8)</f>
        <v/>
      </c>
      <c r="G49" s="11" t="str">
        <f t="shared" si="2"/>
        <v/>
      </c>
      <c r="H49" s="12" t="str">
        <f>IF(G49="","",G49/Settings!$B$8)</f>
        <v/>
      </c>
      <c r="I49" s="38" t="str">
        <f>IF(H49="","",H49*Settings!$B$11)</f>
        <v/>
      </c>
      <c r="J49" s="40" t="str">
        <f>IF(E49="","",IF(E49="W","Weekly Reset",IF(H49&gt;=1,"Very High Benefit; High Unused-Allowance Risk",IF(H49&gt;Settings!$B$17,"Highly Beneficial; Allowance May Be Underused",IF(H49&gt;=Settings!$B$17,"Highly Beneficial",IF(H49&gt;=0.4,"Moderate",IF(H49&gt;0,"Low Benefit","No Advance Benefit")))))))</f>
        <v/>
      </c>
      <c r="K49" s="10" t="str">
        <f t="shared" si="3"/>
        <v/>
      </c>
    </row>
    <row r="50" spans="1:11" ht="14.25" customHeight="1">
      <c r="A50" s="10" t="str">
        <f>IF(Settings!$B$4="","",IF(Settings!$B$4+ROW()-4&lt;EDATE(Settings!$B$4,12),Settings!$B$4+ROW()-4,""))</f>
        <v/>
      </c>
      <c r="B50" s="9" t="str">
        <f t="shared" si="0"/>
        <v/>
      </c>
      <c r="C50" s="10" t="str">
        <f>IF(A50="","",IF(DAY(A50)&gt;=Settings!$B$5,DATE(YEAR(A50),MONTH(A50),Settings!$B$5),DATE(YEAR(EDATE(A50,-1)),MONTH(EDATE(A50,-1)),Settings!$B$5)))</f>
        <v/>
      </c>
      <c r="D50" s="8"/>
      <c r="E50" s="10" t="str">
        <f t="shared" si="1"/>
        <v/>
      </c>
      <c r="F50" s="10" t="str">
        <f>IF(A50="","",K49+Settings!$B$8)</f>
        <v/>
      </c>
      <c r="G50" s="11" t="str">
        <f t="shared" si="2"/>
        <v/>
      </c>
      <c r="H50" s="12" t="str">
        <f>IF(G50="","",G50/Settings!$B$8)</f>
        <v/>
      </c>
      <c r="I50" s="38" t="str">
        <f>IF(H50="","",H50*Settings!$B$11)</f>
        <v/>
      </c>
      <c r="J50" s="40" t="str">
        <f>IF(E50="","",IF(E50="W","Weekly Reset",IF(H50&gt;=1,"Very High Benefit; High Unused-Allowance Risk",IF(H50&gt;Settings!$B$17,"Highly Beneficial; Allowance May Be Underused",IF(H50&gt;=Settings!$B$17,"Highly Beneficial",IF(H50&gt;=0.4,"Moderate",IF(H50&gt;0,"Low Benefit","No Advance Benefit")))))))</f>
        <v/>
      </c>
      <c r="K50" s="10" t="str">
        <f t="shared" si="3"/>
        <v/>
      </c>
    </row>
    <row r="51" spans="1:11" ht="14.25" customHeight="1">
      <c r="A51" s="10" t="str">
        <f>IF(Settings!$B$4="","",IF(Settings!$B$4+ROW()-4&lt;EDATE(Settings!$B$4,12),Settings!$B$4+ROW()-4,""))</f>
        <v/>
      </c>
      <c r="B51" s="9" t="str">
        <f t="shared" si="0"/>
        <v/>
      </c>
      <c r="C51" s="10" t="str">
        <f>IF(A51="","",IF(DAY(A51)&gt;=Settings!$B$5,DATE(YEAR(A51),MONTH(A51),Settings!$B$5),DATE(YEAR(EDATE(A51,-1)),MONTH(EDATE(A51,-1)),Settings!$B$5)))</f>
        <v/>
      </c>
      <c r="D51" s="8"/>
      <c r="E51" s="10" t="str">
        <f t="shared" si="1"/>
        <v/>
      </c>
      <c r="F51" s="10" t="str">
        <f>IF(A51="","",K50+Settings!$B$8)</f>
        <v/>
      </c>
      <c r="G51" s="11" t="str">
        <f t="shared" si="2"/>
        <v/>
      </c>
      <c r="H51" s="12" t="str">
        <f>IF(G51="","",G51/Settings!$B$8)</f>
        <v/>
      </c>
      <c r="I51" s="38" t="str">
        <f>IF(H51="","",H51*Settings!$B$11)</f>
        <v/>
      </c>
      <c r="J51" s="40" t="str">
        <f>IF(E51="","",IF(E51="W","Weekly Reset",IF(H51&gt;=1,"Very High Benefit; High Unused-Allowance Risk",IF(H51&gt;Settings!$B$17,"Highly Beneficial; Allowance May Be Underused",IF(H51&gt;=Settings!$B$17,"Highly Beneficial",IF(H51&gt;=0.4,"Moderate",IF(H51&gt;0,"Low Benefit","No Advance Benefit")))))))</f>
        <v/>
      </c>
      <c r="K51" s="10" t="str">
        <f t="shared" si="3"/>
        <v/>
      </c>
    </row>
    <row r="52" spans="1:11" ht="14.25" customHeight="1">
      <c r="A52" s="10" t="str">
        <f>IF(Settings!$B$4="","",IF(Settings!$B$4+ROW()-4&lt;EDATE(Settings!$B$4,12),Settings!$B$4+ROW()-4,""))</f>
        <v/>
      </c>
      <c r="B52" s="9" t="str">
        <f t="shared" si="0"/>
        <v/>
      </c>
      <c r="C52" s="10" t="str">
        <f>IF(A52="","",IF(DAY(A52)&gt;=Settings!$B$5,DATE(YEAR(A52),MONTH(A52),Settings!$B$5),DATE(YEAR(EDATE(A52,-1)),MONTH(EDATE(A52,-1)),Settings!$B$5)))</f>
        <v/>
      </c>
      <c r="D52" s="8"/>
      <c r="E52" s="10" t="str">
        <f t="shared" si="1"/>
        <v/>
      </c>
      <c r="F52" s="10" t="str">
        <f>IF(A52="","",K51+Settings!$B$8)</f>
        <v/>
      </c>
      <c r="G52" s="11" t="str">
        <f t="shared" si="2"/>
        <v/>
      </c>
      <c r="H52" s="12" t="str">
        <f>IF(G52="","",G52/Settings!$B$8)</f>
        <v/>
      </c>
      <c r="I52" s="38" t="str">
        <f>IF(H52="","",H52*Settings!$B$11)</f>
        <v/>
      </c>
      <c r="J52" s="40" t="str">
        <f>IF(E52="","",IF(E52="W","Weekly Reset",IF(H52&gt;=1,"Very High Benefit; High Unused-Allowance Risk",IF(H52&gt;Settings!$B$17,"Highly Beneficial; Allowance May Be Underused",IF(H52&gt;=Settings!$B$17,"Highly Beneficial",IF(H52&gt;=0.4,"Moderate",IF(H52&gt;0,"Low Benefit","No Advance Benefit")))))))</f>
        <v/>
      </c>
      <c r="K52" s="10" t="str">
        <f t="shared" si="3"/>
        <v/>
      </c>
    </row>
    <row r="53" spans="1:11" ht="14.25" customHeight="1">
      <c r="A53" s="10" t="str">
        <f>IF(Settings!$B$4="","",IF(Settings!$B$4+ROW()-4&lt;EDATE(Settings!$B$4,12),Settings!$B$4+ROW()-4,""))</f>
        <v/>
      </c>
      <c r="B53" s="9" t="str">
        <f t="shared" si="0"/>
        <v/>
      </c>
      <c r="C53" s="10" t="str">
        <f>IF(A53="","",IF(DAY(A53)&gt;=Settings!$B$5,DATE(YEAR(A53),MONTH(A53),Settings!$B$5),DATE(YEAR(EDATE(A53,-1)),MONTH(EDATE(A53,-1)),Settings!$B$5)))</f>
        <v/>
      </c>
      <c r="D53" s="8"/>
      <c r="E53" s="10" t="str">
        <f t="shared" si="1"/>
        <v/>
      </c>
      <c r="F53" s="10" t="str">
        <f>IF(A53="","",K52+Settings!$B$8)</f>
        <v/>
      </c>
      <c r="G53" s="11" t="str">
        <f t="shared" si="2"/>
        <v/>
      </c>
      <c r="H53" s="12" t="str">
        <f>IF(G53="","",G53/Settings!$B$8)</f>
        <v/>
      </c>
      <c r="I53" s="38" t="str">
        <f>IF(H53="","",H53*Settings!$B$11)</f>
        <v/>
      </c>
      <c r="J53" s="40" t="str">
        <f>IF(E53="","",IF(E53="W","Weekly Reset",IF(H53&gt;=1,"Very High Benefit; High Unused-Allowance Risk",IF(H53&gt;Settings!$B$17,"Highly Beneficial; Allowance May Be Underused",IF(H53&gt;=Settings!$B$17,"Highly Beneficial",IF(H53&gt;=0.4,"Moderate",IF(H53&gt;0,"Low Benefit","No Advance Benefit")))))))</f>
        <v/>
      </c>
      <c r="K53" s="10" t="str">
        <f t="shared" si="3"/>
        <v/>
      </c>
    </row>
    <row r="54" spans="1:11" ht="14.25" customHeight="1">
      <c r="A54" s="10" t="str">
        <f>IF(Settings!$B$4="","",IF(Settings!$B$4+ROW()-4&lt;EDATE(Settings!$B$4,12),Settings!$B$4+ROW()-4,""))</f>
        <v/>
      </c>
      <c r="B54" s="9" t="str">
        <f t="shared" si="0"/>
        <v/>
      </c>
      <c r="C54" s="10" t="str">
        <f>IF(A54="","",IF(DAY(A54)&gt;=Settings!$B$5,DATE(YEAR(A54),MONTH(A54),Settings!$B$5),DATE(YEAR(EDATE(A54,-1)),MONTH(EDATE(A54,-1)),Settings!$B$5)))</f>
        <v/>
      </c>
      <c r="D54" s="8"/>
      <c r="E54" s="10" t="str">
        <f t="shared" si="1"/>
        <v/>
      </c>
      <c r="F54" s="10" t="str">
        <f>IF(A54="","",K53+Settings!$B$8)</f>
        <v/>
      </c>
      <c r="G54" s="11" t="str">
        <f t="shared" si="2"/>
        <v/>
      </c>
      <c r="H54" s="12" t="str">
        <f>IF(G54="","",G54/Settings!$B$8)</f>
        <v/>
      </c>
      <c r="I54" s="38" t="str">
        <f>IF(H54="","",H54*Settings!$B$11)</f>
        <v/>
      </c>
      <c r="J54" s="40" t="str">
        <f>IF(E54="","",IF(E54="W","Weekly Reset",IF(H54&gt;=1,"Very High Benefit; High Unused-Allowance Risk",IF(H54&gt;Settings!$B$17,"Highly Beneficial; Allowance May Be Underused",IF(H54&gt;=Settings!$B$17,"Highly Beneficial",IF(H54&gt;=0.4,"Moderate",IF(H54&gt;0,"Low Benefit","No Advance Benefit")))))))</f>
        <v/>
      </c>
      <c r="K54" s="10" t="str">
        <f t="shared" si="3"/>
        <v/>
      </c>
    </row>
    <row r="55" spans="1:11" ht="14.25" customHeight="1">
      <c r="A55" s="10" t="str">
        <f>IF(Settings!$B$4="","",IF(Settings!$B$4+ROW()-4&lt;EDATE(Settings!$B$4,12),Settings!$B$4+ROW()-4,""))</f>
        <v/>
      </c>
      <c r="B55" s="9" t="str">
        <f t="shared" si="0"/>
        <v/>
      </c>
      <c r="C55" s="10" t="str">
        <f>IF(A55="","",IF(DAY(A55)&gt;=Settings!$B$5,DATE(YEAR(A55),MONTH(A55),Settings!$B$5),DATE(YEAR(EDATE(A55,-1)),MONTH(EDATE(A55,-1)),Settings!$B$5)))</f>
        <v/>
      </c>
      <c r="D55" s="8"/>
      <c r="E55" s="10" t="str">
        <f t="shared" si="1"/>
        <v/>
      </c>
      <c r="F55" s="10" t="str">
        <f>IF(A55="","",K54+Settings!$B$8)</f>
        <v/>
      </c>
      <c r="G55" s="11" t="str">
        <f t="shared" si="2"/>
        <v/>
      </c>
      <c r="H55" s="12" t="str">
        <f>IF(G55="","",G55/Settings!$B$8)</f>
        <v/>
      </c>
      <c r="I55" s="38" t="str">
        <f>IF(H55="","",H55*Settings!$B$11)</f>
        <v/>
      </c>
      <c r="J55" s="40" t="str">
        <f>IF(E55="","",IF(E55="W","Weekly Reset",IF(H55&gt;=1,"Very High Benefit; High Unused-Allowance Risk",IF(H55&gt;Settings!$B$17,"Highly Beneficial; Allowance May Be Underused",IF(H55&gt;=Settings!$B$17,"Highly Beneficial",IF(H55&gt;=0.4,"Moderate",IF(H55&gt;0,"Low Benefit","No Advance Benefit")))))))</f>
        <v/>
      </c>
      <c r="K55" s="10" t="str">
        <f t="shared" si="3"/>
        <v/>
      </c>
    </row>
    <row r="56" spans="1:11" ht="14.25" customHeight="1">
      <c r="A56" s="10" t="str">
        <f>IF(Settings!$B$4="","",IF(Settings!$B$4+ROW()-4&lt;EDATE(Settings!$B$4,12),Settings!$B$4+ROW()-4,""))</f>
        <v/>
      </c>
      <c r="B56" s="9" t="str">
        <f t="shared" si="0"/>
        <v/>
      </c>
      <c r="C56" s="10" t="str">
        <f>IF(A56="","",IF(DAY(A56)&gt;=Settings!$B$5,DATE(YEAR(A56),MONTH(A56),Settings!$B$5),DATE(YEAR(EDATE(A56,-1)),MONTH(EDATE(A56,-1)),Settings!$B$5)))</f>
        <v/>
      </c>
      <c r="D56" s="8"/>
      <c r="E56" s="10" t="str">
        <f t="shared" si="1"/>
        <v/>
      </c>
      <c r="F56" s="10" t="str">
        <f>IF(A56="","",K55+Settings!$B$8)</f>
        <v/>
      </c>
      <c r="G56" s="11" t="str">
        <f t="shared" si="2"/>
        <v/>
      </c>
      <c r="H56" s="12" t="str">
        <f>IF(G56="","",G56/Settings!$B$8)</f>
        <v/>
      </c>
      <c r="I56" s="38" t="str">
        <f>IF(H56="","",H56*Settings!$B$11)</f>
        <v/>
      </c>
      <c r="J56" s="40" t="str">
        <f>IF(E56="","",IF(E56="W","Weekly Reset",IF(H56&gt;=1,"Very High Benefit; High Unused-Allowance Risk",IF(H56&gt;Settings!$B$17,"Highly Beneficial; Allowance May Be Underused",IF(H56&gt;=Settings!$B$17,"Highly Beneficial",IF(H56&gt;=0.4,"Moderate",IF(H56&gt;0,"Low Benefit","No Advance Benefit")))))))</f>
        <v/>
      </c>
      <c r="K56" s="10" t="str">
        <f t="shared" si="3"/>
        <v/>
      </c>
    </row>
    <row r="57" spans="1:11" ht="14.25" customHeight="1">
      <c r="A57" s="10" t="str">
        <f>IF(Settings!$B$4="","",IF(Settings!$B$4+ROW()-4&lt;EDATE(Settings!$B$4,12),Settings!$B$4+ROW()-4,""))</f>
        <v/>
      </c>
      <c r="B57" s="9" t="str">
        <f t="shared" si="0"/>
        <v/>
      </c>
      <c r="C57" s="10" t="str">
        <f>IF(A57="","",IF(DAY(A57)&gt;=Settings!$B$5,DATE(YEAR(A57),MONTH(A57),Settings!$B$5),DATE(YEAR(EDATE(A57,-1)),MONTH(EDATE(A57,-1)),Settings!$B$5)))</f>
        <v/>
      </c>
      <c r="D57" s="8"/>
      <c r="E57" s="10" t="str">
        <f t="shared" si="1"/>
        <v/>
      </c>
      <c r="F57" s="10" t="str">
        <f>IF(A57="","",K56+Settings!$B$8)</f>
        <v/>
      </c>
      <c r="G57" s="11" t="str">
        <f t="shared" si="2"/>
        <v/>
      </c>
      <c r="H57" s="12" t="str">
        <f>IF(G57="","",G57/Settings!$B$8)</f>
        <v/>
      </c>
      <c r="I57" s="38" t="str">
        <f>IF(H57="","",H57*Settings!$B$11)</f>
        <v/>
      </c>
      <c r="J57" s="40" t="str">
        <f>IF(E57="","",IF(E57="W","Weekly Reset",IF(H57&gt;=1,"Very High Benefit; High Unused-Allowance Risk",IF(H57&gt;Settings!$B$17,"Highly Beneficial; Allowance May Be Underused",IF(H57&gt;=Settings!$B$17,"Highly Beneficial",IF(H57&gt;=0.4,"Moderate",IF(H57&gt;0,"Low Benefit","No Advance Benefit")))))))</f>
        <v/>
      </c>
      <c r="K57" s="10" t="str">
        <f t="shared" si="3"/>
        <v/>
      </c>
    </row>
    <row r="58" spans="1:11" ht="14.25" customHeight="1">
      <c r="A58" s="10" t="str">
        <f>IF(Settings!$B$4="","",IF(Settings!$B$4+ROW()-4&lt;EDATE(Settings!$B$4,12),Settings!$B$4+ROW()-4,""))</f>
        <v/>
      </c>
      <c r="B58" s="9" t="str">
        <f t="shared" si="0"/>
        <v/>
      </c>
      <c r="C58" s="10" t="str">
        <f>IF(A58="","",IF(DAY(A58)&gt;=Settings!$B$5,DATE(YEAR(A58),MONTH(A58),Settings!$B$5),DATE(YEAR(EDATE(A58,-1)),MONTH(EDATE(A58,-1)),Settings!$B$5)))</f>
        <v/>
      </c>
      <c r="D58" s="8"/>
      <c r="E58" s="10" t="str">
        <f t="shared" si="1"/>
        <v/>
      </c>
      <c r="F58" s="10" t="str">
        <f>IF(A58="","",K57+Settings!$B$8)</f>
        <v/>
      </c>
      <c r="G58" s="11" t="str">
        <f t="shared" si="2"/>
        <v/>
      </c>
      <c r="H58" s="12" t="str">
        <f>IF(G58="","",G58/Settings!$B$8)</f>
        <v/>
      </c>
      <c r="I58" s="38" t="str">
        <f>IF(H58="","",H58*Settings!$B$11)</f>
        <v/>
      </c>
      <c r="J58" s="40" t="str">
        <f>IF(E58="","",IF(E58="W","Weekly Reset",IF(H58&gt;=1,"Very High Benefit; High Unused-Allowance Risk",IF(H58&gt;Settings!$B$17,"Highly Beneficial; Allowance May Be Underused",IF(H58&gt;=Settings!$B$17,"Highly Beneficial",IF(H58&gt;=0.4,"Moderate",IF(H58&gt;0,"Low Benefit","No Advance Benefit")))))))</f>
        <v/>
      </c>
      <c r="K58" s="10" t="str">
        <f t="shared" si="3"/>
        <v/>
      </c>
    </row>
    <row r="59" spans="1:11" ht="14.25" customHeight="1">
      <c r="A59" s="10" t="str">
        <f>IF(Settings!$B$4="","",IF(Settings!$B$4+ROW()-4&lt;EDATE(Settings!$B$4,12),Settings!$B$4+ROW()-4,""))</f>
        <v/>
      </c>
      <c r="B59" s="9" t="str">
        <f t="shared" si="0"/>
        <v/>
      </c>
      <c r="C59" s="10" t="str">
        <f>IF(A59="","",IF(DAY(A59)&gt;=Settings!$B$5,DATE(YEAR(A59),MONTH(A59),Settings!$B$5),DATE(YEAR(EDATE(A59,-1)),MONTH(EDATE(A59,-1)),Settings!$B$5)))</f>
        <v/>
      </c>
      <c r="D59" s="8"/>
      <c r="E59" s="10" t="str">
        <f t="shared" si="1"/>
        <v/>
      </c>
      <c r="F59" s="10" t="str">
        <f>IF(A59="","",K58+Settings!$B$8)</f>
        <v/>
      </c>
      <c r="G59" s="11" t="str">
        <f t="shared" si="2"/>
        <v/>
      </c>
      <c r="H59" s="12" t="str">
        <f>IF(G59="","",G59/Settings!$B$8)</f>
        <v/>
      </c>
      <c r="I59" s="38" t="str">
        <f>IF(H59="","",H59*Settings!$B$11)</f>
        <v/>
      </c>
      <c r="J59" s="40" t="str">
        <f>IF(E59="","",IF(E59="W","Weekly Reset",IF(H59&gt;=1,"Very High Benefit; High Unused-Allowance Risk",IF(H59&gt;Settings!$B$17,"Highly Beneficial; Allowance May Be Underused",IF(H59&gt;=Settings!$B$17,"Highly Beneficial",IF(H59&gt;=0.4,"Moderate",IF(H59&gt;0,"Low Benefit","No Advance Benefit")))))))</f>
        <v/>
      </c>
      <c r="K59" s="10" t="str">
        <f t="shared" si="3"/>
        <v/>
      </c>
    </row>
    <row r="60" spans="1:11" ht="14.25" customHeight="1">
      <c r="A60" s="10" t="str">
        <f>IF(Settings!$B$4="","",IF(Settings!$B$4+ROW()-4&lt;EDATE(Settings!$B$4,12),Settings!$B$4+ROW()-4,""))</f>
        <v/>
      </c>
      <c r="B60" s="9" t="str">
        <f t="shared" si="0"/>
        <v/>
      </c>
      <c r="C60" s="10" t="str">
        <f>IF(A60="","",IF(DAY(A60)&gt;=Settings!$B$5,DATE(YEAR(A60),MONTH(A60),Settings!$B$5),DATE(YEAR(EDATE(A60,-1)),MONTH(EDATE(A60,-1)),Settings!$B$5)))</f>
        <v/>
      </c>
      <c r="D60" s="8"/>
      <c r="E60" s="10" t="str">
        <f t="shared" si="1"/>
        <v/>
      </c>
      <c r="F60" s="10" t="str">
        <f>IF(A60="","",K59+Settings!$B$8)</f>
        <v/>
      </c>
      <c r="G60" s="11" t="str">
        <f t="shared" si="2"/>
        <v/>
      </c>
      <c r="H60" s="12" t="str">
        <f>IF(G60="","",G60/Settings!$B$8)</f>
        <v/>
      </c>
      <c r="I60" s="38" t="str">
        <f>IF(H60="","",H60*Settings!$B$11)</f>
        <v/>
      </c>
      <c r="J60" s="40" t="str">
        <f>IF(E60="","",IF(E60="W","Weekly Reset",IF(H60&gt;=1,"Very High Benefit; High Unused-Allowance Risk",IF(H60&gt;Settings!$B$17,"Highly Beneficial; Allowance May Be Underused",IF(H60&gt;=Settings!$B$17,"Highly Beneficial",IF(H60&gt;=0.4,"Moderate",IF(H60&gt;0,"Low Benefit","No Advance Benefit")))))))</f>
        <v/>
      </c>
      <c r="K60" s="10" t="str">
        <f t="shared" si="3"/>
        <v/>
      </c>
    </row>
    <row r="61" spans="1:11" ht="14.25" customHeight="1">
      <c r="A61" s="10" t="str">
        <f>IF(Settings!$B$4="","",IF(Settings!$B$4+ROW()-4&lt;EDATE(Settings!$B$4,12),Settings!$B$4+ROW()-4,""))</f>
        <v/>
      </c>
      <c r="B61" s="9" t="str">
        <f t="shared" si="0"/>
        <v/>
      </c>
      <c r="C61" s="10" t="str">
        <f>IF(A61="","",IF(DAY(A61)&gt;=Settings!$B$5,DATE(YEAR(A61),MONTH(A61),Settings!$B$5),DATE(YEAR(EDATE(A61,-1)),MONTH(EDATE(A61,-1)),Settings!$B$5)))</f>
        <v/>
      </c>
      <c r="D61" s="8"/>
      <c r="E61" s="10" t="str">
        <f t="shared" si="1"/>
        <v/>
      </c>
      <c r="F61" s="10" t="str">
        <f>IF(A61="","",K60+Settings!$B$8)</f>
        <v/>
      </c>
      <c r="G61" s="11" t="str">
        <f t="shared" si="2"/>
        <v/>
      </c>
      <c r="H61" s="12" t="str">
        <f>IF(G61="","",G61/Settings!$B$8)</f>
        <v/>
      </c>
      <c r="I61" s="38" t="str">
        <f>IF(H61="","",H61*Settings!$B$11)</f>
        <v/>
      </c>
      <c r="J61" s="40" t="str">
        <f>IF(E61="","",IF(E61="W","Weekly Reset",IF(H61&gt;=1,"Very High Benefit; High Unused-Allowance Risk",IF(H61&gt;Settings!$B$17,"Highly Beneficial; Allowance May Be Underused",IF(H61&gt;=Settings!$B$17,"Highly Beneficial",IF(H61&gt;=0.4,"Moderate",IF(H61&gt;0,"Low Benefit","No Advance Benefit")))))))</f>
        <v/>
      </c>
      <c r="K61" s="10" t="str">
        <f t="shared" si="3"/>
        <v/>
      </c>
    </row>
    <row r="62" spans="1:11" ht="14.25" customHeight="1">
      <c r="A62" s="10" t="str">
        <f>IF(Settings!$B$4="","",IF(Settings!$B$4+ROW()-4&lt;EDATE(Settings!$B$4,12),Settings!$B$4+ROW()-4,""))</f>
        <v/>
      </c>
      <c r="B62" s="9" t="str">
        <f t="shared" si="0"/>
        <v/>
      </c>
      <c r="C62" s="10" t="str">
        <f>IF(A62="","",IF(DAY(A62)&gt;=Settings!$B$5,DATE(YEAR(A62),MONTH(A62),Settings!$B$5),DATE(YEAR(EDATE(A62,-1)),MONTH(EDATE(A62,-1)),Settings!$B$5)))</f>
        <v/>
      </c>
      <c r="D62" s="8"/>
      <c r="E62" s="10" t="str">
        <f t="shared" si="1"/>
        <v/>
      </c>
      <c r="F62" s="10" t="str">
        <f>IF(A62="","",K61+Settings!$B$8)</f>
        <v/>
      </c>
      <c r="G62" s="11" t="str">
        <f t="shared" si="2"/>
        <v/>
      </c>
      <c r="H62" s="12" t="str">
        <f>IF(G62="","",G62/Settings!$B$8)</f>
        <v/>
      </c>
      <c r="I62" s="38" t="str">
        <f>IF(H62="","",H62*Settings!$B$11)</f>
        <v/>
      </c>
      <c r="J62" s="40" t="str">
        <f>IF(E62="","",IF(E62="W","Weekly Reset",IF(H62&gt;=1,"Very High Benefit; High Unused-Allowance Risk",IF(H62&gt;Settings!$B$17,"Highly Beneficial; Allowance May Be Underused",IF(H62&gt;=Settings!$B$17,"Highly Beneficial",IF(H62&gt;=0.4,"Moderate",IF(H62&gt;0,"Low Benefit","No Advance Benefit")))))))</f>
        <v/>
      </c>
      <c r="K62" s="10" t="str">
        <f t="shared" si="3"/>
        <v/>
      </c>
    </row>
    <row r="63" spans="1:11" ht="14.25" customHeight="1">
      <c r="A63" s="10" t="str">
        <f>IF(Settings!$B$4="","",IF(Settings!$B$4+ROW()-4&lt;EDATE(Settings!$B$4,12),Settings!$B$4+ROW()-4,""))</f>
        <v/>
      </c>
      <c r="B63" s="9" t="str">
        <f t="shared" si="0"/>
        <v/>
      </c>
      <c r="C63" s="10" t="str">
        <f>IF(A63="","",IF(DAY(A63)&gt;=Settings!$B$5,DATE(YEAR(A63),MONTH(A63),Settings!$B$5),DATE(YEAR(EDATE(A63,-1)),MONTH(EDATE(A63,-1)),Settings!$B$5)))</f>
        <v/>
      </c>
      <c r="D63" s="8"/>
      <c r="E63" s="10" t="str">
        <f t="shared" si="1"/>
        <v/>
      </c>
      <c r="F63" s="10" t="str">
        <f>IF(A63="","",K62+Settings!$B$8)</f>
        <v/>
      </c>
      <c r="G63" s="11" t="str">
        <f t="shared" si="2"/>
        <v/>
      </c>
      <c r="H63" s="12" t="str">
        <f>IF(G63="","",G63/Settings!$B$8)</f>
        <v/>
      </c>
      <c r="I63" s="38" t="str">
        <f>IF(H63="","",H63*Settings!$B$11)</f>
        <v/>
      </c>
      <c r="J63" s="40" t="str">
        <f>IF(E63="","",IF(E63="W","Weekly Reset",IF(H63&gt;=1,"Very High Benefit; High Unused-Allowance Risk",IF(H63&gt;Settings!$B$17,"Highly Beneficial; Allowance May Be Underused",IF(H63&gt;=Settings!$B$17,"Highly Beneficial",IF(H63&gt;=0.4,"Moderate",IF(H63&gt;0,"Low Benefit","No Advance Benefit")))))))</f>
        <v/>
      </c>
      <c r="K63" s="10" t="str">
        <f t="shared" si="3"/>
        <v/>
      </c>
    </row>
    <row r="64" spans="1:11" ht="14.25" customHeight="1">
      <c r="A64" s="10" t="str">
        <f>IF(Settings!$B$4="","",IF(Settings!$B$4+ROW()-4&lt;EDATE(Settings!$B$4,12),Settings!$B$4+ROW()-4,""))</f>
        <v/>
      </c>
      <c r="B64" s="9" t="str">
        <f t="shared" si="0"/>
        <v/>
      </c>
      <c r="C64" s="10" t="str">
        <f>IF(A64="","",IF(DAY(A64)&gt;=Settings!$B$5,DATE(YEAR(A64),MONTH(A64),Settings!$B$5),DATE(YEAR(EDATE(A64,-1)),MONTH(EDATE(A64,-1)),Settings!$B$5)))</f>
        <v/>
      </c>
      <c r="D64" s="8"/>
      <c r="E64" s="10" t="str">
        <f t="shared" si="1"/>
        <v/>
      </c>
      <c r="F64" s="10" t="str">
        <f>IF(A64="","",K63+Settings!$B$8)</f>
        <v/>
      </c>
      <c r="G64" s="11" t="str">
        <f t="shared" si="2"/>
        <v/>
      </c>
      <c r="H64" s="12" t="str">
        <f>IF(G64="","",G64/Settings!$B$8)</f>
        <v/>
      </c>
      <c r="I64" s="38" t="str">
        <f>IF(H64="","",H64*Settings!$B$11)</f>
        <v/>
      </c>
      <c r="J64" s="40" t="str">
        <f>IF(E64="","",IF(E64="W","Weekly Reset",IF(H64&gt;=1,"Very High Benefit; High Unused-Allowance Risk",IF(H64&gt;Settings!$B$17,"Highly Beneficial; Allowance May Be Underused",IF(H64&gt;=Settings!$B$17,"Highly Beneficial",IF(H64&gt;=0.4,"Moderate",IF(H64&gt;0,"Low Benefit","No Advance Benefit")))))))</f>
        <v/>
      </c>
      <c r="K64" s="10" t="str">
        <f t="shared" si="3"/>
        <v/>
      </c>
    </row>
    <row r="65" spans="1:11" ht="14.25" customHeight="1">
      <c r="A65" s="10" t="str">
        <f>IF(Settings!$B$4="","",IF(Settings!$B$4+ROW()-4&lt;EDATE(Settings!$B$4,12),Settings!$B$4+ROW()-4,""))</f>
        <v/>
      </c>
      <c r="B65" s="9" t="str">
        <f t="shared" si="0"/>
        <v/>
      </c>
      <c r="C65" s="10" t="str">
        <f>IF(A65="","",IF(DAY(A65)&gt;=Settings!$B$5,DATE(YEAR(A65),MONTH(A65),Settings!$B$5),DATE(YEAR(EDATE(A65,-1)),MONTH(EDATE(A65,-1)),Settings!$B$5)))</f>
        <v/>
      </c>
      <c r="D65" s="8"/>
      <c r="E65" s="10" t="str">
        <f t="shared" si="1"/>
        <v/>
      </c>
      <c r="F65" s="10" t="str">
        <f>IF(A65="","",K64+Settings!$B$8)</f>
        <v/>
      </c>
      <c r="G65" s="11" t="str">
        <f t="shared" si="2"/>
        <v/>
      </c>
      <c r="H65" s="12" t="str">
        <f>IF(G65="","",G65/Settings!$B$8)</f>
        <v/>
      </c>
      <c r="I65" s="38" t="str">
        <f>IF(H65="","",H65*Settings!$B$11)</f>
        <v/>
      </c>
      <c r="J65" s="40" t="str">
        <f>IF(E65="","",IF(E65="W","Weekly Reset",IF(H65&gt;=1,"Very High Benefit; High Unused-Allowance Risk",IF(H65&gt;Settings!$B$17,"Highly Beneficial; Allowance May Be Underused",IF(H65&gt;=Settings!$B$17,"Highly Beneficial",IF(H65&gt;=0.4,"Moderate",IF(H65&gt;0,"Low Benefit","No Advance Benefit")))))))</f>
        <v/>
      </c>
      <c r="K65" s="10" t="str">
        <f t="shared" si="3"/>
        <v/>
      </c>
    </row>
    <row r="66" spans="1:11" ht="14.25" customHeight="1">
      <c r="A66" s="10" t="str">
        <f>IF(Settings!$B$4="","",IF(Settings!$B$4+ROW()-4&lt;EDATE(Settings!$B$4,12),Settings!$B$4+ROW()-4,""))</f>
        <v/>
      </c>
      <c r="B66" s="9" t="str">
        <f t="shared" si="0"/>
        <v/>
      </c>
      <c r="C66" s="10" t="str">
        <f>IF(A66="","",IF(DAY(A66)&gt;=Settings!$B$5,DATE(YEAR(A66),MONTH(A66),Settings!$B$5),DATE(YEAR(EDATE(A66,-1)),MONTH(EDATE(A66,-1)),Settings!$B$5)))</f>
        <v/>
      </c>
      <c r="D66" s="8"/>
      <c r="E66" s="10" t="str">
        <f t="shared" si="1"/>
        <v/>
      </c>
      <c r="F66" s="10" t="str">
        <f>IF(A66="","",K65+Settings!$B$8)</f>
        <v/>
      </c>
      <c r="G66" s="11" t="str">
        <f t="shared" si="2"/>
        <v/>
      </c>
      <c r="H66" s="12" t="str">
        <f>IF(G66="","",G66/Settings!$B$8)</f>
        <v/>
      </c>
      <c r="I66" s="38" t="str">
        <f>IF(H66="","",H66*Settings!$B$11)</f>
        <v/>
      </c>
      <c r="J66" s="40" t="str">
        <f>IF(E66="","",IF(E66="W","Weekly Reset",IF(H66&gt;=1,"Very High Benefit; High Unused-Allowance Risk",IF(H66&gt;Settings!$B$17,"Highly Beneficial; Allowance May Be Underused",IF(H66&gt;=Settings!$B$17,"Highly Beneficial",IF(H66&gt;=0.4,"Moderate",IF(H66&gt;0,"Low Benefit","No Advance Benefit")))))))</f>
        <v/>
      </c>
      <c r="K66" s="10" t="str">
        <f t="shared" si="3"/>
        <v/>
      </c>
    </row>
    <row r="67" spans="1:11" ht="14.25" customHeight="1">
      <c r="A67" s="10" t="str">
        <f>IF(Settings!$B$4="","",IF(Settings!$B$4+ROW()-4&lt;EDATE(Settings!$B$4,12),Settings!$B$4+ROW()-4,""))</f>
        <v/>
      </c>
      <c r="B67" s="9" t="str">
        <f t="shared" si="0"/>
        <v/>
      </c>
      <c r="C67" s="10" t="str">
        <f>IF(A67="","",IF(DAY(A67)&gt;=Settings!$B$5,DATE(YEAR(A67),MONTH(A67),Settings!$B$5),DATE(YEAR(EDATE(A67,-1)),MONTH(EDATE(A67,-1)),Settings!$B$5)))</f>
        <v/>
      </c>
      <c r="D67" s="8"/>
      <c r="E67" s="10" t="str">
        <f t="shared" si="1"/>
        <v/>
      </c>
      <c r="F67" s="10" t="str">
        <f>IF(A67="","",K66+Settings!$B$8)</f>
        <v/>
      </c>
      <c r="G67" s="11" t="str">
        <f t="shared" si="2"/>
        <v/>
      </c>
      <c r="H67" s="12" t="str">
        <f>IF(G67="","",G67/Settings!$B$8)</f>
        <v/>
      </c>
      <c r="I67" s="38" t="str">
        <f>IF(H67="","",H67*Settings!$B$11)</f>
        <v/>
      </c>
      <c r="J67" s="40" t="str">
        <f>IF(E67="","",IF(E67="W","Weekly Reset",IF(H67&gt;=1,"Very High Benefit; High Unused-Allowance Risk",IF(H67&gt;Settings!$B$17,"Highly Beneficial; Allowance May Be Underused",IF(H67&gt;=Settings!$B$17,"Highly Beneficial",IF(H67&gt;=0.4,"Moderate",IF(H67&gt;0,"Low Benefit","No Advance Benefit")))))))</f>
        <v/>
      </c>
      <c r="K67" s="10" t="str">
        <f t="shared" si="3"/>
        <v/>
      </c>
    </row>
    <row r="68" spans="1:11" ht="14.25" customHeight="1">
      <c r="A68" s="10" t="str">
        <f>IF(Settings!$B$4="","",IF(Settings!$B$4+ROW()-4&lt;EDATE(Settings!$B$4,12),Settings!$B$4+ROW()-4,""))</f>
        <v/>
      </c>
      <c r="B68" s="9" t="str">
        <f t="shared" ref="B68:B131" si="4">IF(A68="","",CHOOSE(WEEKDAY(A68,2),"Mon","Tue","Wed","Thu","Fri","Sat","Sun"))</f>
        <v/>
      </c>
      <c r="C68" s="10" t="str">
        <f>IF(A68="","",IF(DAY(A68)&gt;=Settings!$B$5,DATE(YEAR(A68),MONTH(A68),Settings!$B$5),DATE(YEAR(EDATE(A68,-1)),MONTH(EDATE(A68,-1)),Settings!$B$5)))</f>
        <v/>
      </c>
      <c r="D68" s="8"/>
      <c r="E68" s="10" t="str">
        <f t="shared" ref="E68:E131" si="5">IF(A68="","",IF(D68&lt;&gt;"",D68,IF(A68=F68,"W","")))</f>
        <v/>
      </c>
      <c r="F68" s="10" t="str">
        <f>IF(A68="","",K67+Settings!$B$8)</f>
        <v/>
      </c>
      <c r="G68" s="11" t="str">
        <f t="shared" ref="G68:G131" si="6">IF(OR(A68="",D68=""),"",MAX(0,F68-A68))</f>
        <v/>
      </c>
      <c r="H68" s="12" t="str">
        <f>IF(G68="","",G68/Settings!$B$8)</f>
        <v/>
      </c>
      <c r="I68" s="38" t="str">
        <f>IF(H68="","",H68*Settings!$B$11)</f>
        <v/>
      </c>
      <c r="J68" s="40" t="str">
        <f>IF(E68="","",IF(E68="W","Weekly Reset",IF(H68&gt;=1,"Very High Benefit; High Unused-Allowance Risk",IF(H68&gt;Settings!$B$17,"Highly Beneficial; Allowance May Be Underused",IF(H68&gt;=Settings!$B$17,"Highly Beneficial",IF(H68&gt;=0.4,"Moderate",IF(H68&gt;0,"Low Benefit","No Advance Benefit")))))))</f>
        <v/>
      </c>
      <c r="K68" s="10" t="str">
        <f t="shared" si="3"/>
        <v/>
      </c>
    </row>
    <row r="69" spans="1:11" ht="14.25" customHeight="1">
      <c r="A69" s="10" t="str">
        <f>IF(Settings!$B$4="","",IF(Settings!$B$4+ROW()-4&lt;EDATE(Settings!$B$4,12),Settings!$B$4+ROW()-4,""))</f>
        <v/>
      </c>
      <c r="B69" s="9" t="str">
        <f t="shared" si="4"/>
        <v/>
      </c>
      <c r="C69" s="10" t="str">
        <f>IF(A69="","",IF(DAY(A69)&gt;=Settings!$B$5,DATE(YEAR(A69),MONTH(A69),Settings!$B$5),DATE(YEAR(EDATE(A69,-1)),MONTH(EDATE(A69,-1)),Settings!$B$5)))</f>
        <v/>
      </c>
      <c r="D69" s="8"/>
      <c r="E69" s="10" t="str">
        <f t="shared" si="5"/>
        <v/>
      </c>
      <c r="F69" s="10" t="str">
        <f>IF(A69="","",K68+Settings!$B$8)</f>
        <v/>
      </c>
      <c r="G69" s="11" t="str">
        <f t="shared" si="6"/>
        <v/>
      </c>
      <c r="H69" s="12" t="str">
        <f>IF(G69="","",G69/Settings!$B$8)</f>
        <v/>
      </c>
      <c r="I69" s="38" t="str">
        <f>IF(H69="","",H69*Settings!$B$11)</f>
        <v/>
      </c>
      <c r="J69" s="40" t="str">
        <f>IF(E69="","",IF(E69="W","Weekly Reset",IF(H69&gt;=1,"Very High Benefit; High Unused-Allowance Risk",IF(H69&gt;Settings!$B$17,"Highly Beneficial; Allowance May Be Underused",IF(H69&gt;=Settings!$B$17,"Highly Beneficial",IF(H69&gt;=0.4,"Moderate",IF(H69&gt;0,"Low Benefit","No Advance Benefit")))))))</f>
        <v/>
      </c>
      <c r="K69" s="10" t="str">
        <f t="shared" ref="K69:K132" si="7">IF(A69="","",IF(D69&lt;&gt;"",A69,IF(A69=F69,A69,K68)))</f>
        <v/>
      </c>
    </row>
    <row r="70" spans="1:11" ht="14.25" customHeight="1">
      <c r="A70" s="10" t="str">
        <f>IF(Settings!$B$4="","",IF(Settings!$B$4+ROW()-4&lt;EDATE(Settings!$B$4,12),Settings!$B$4+ROW()-4,""))</f>
        <v/>
      </c>
      <c r="B70" s="9" t="str">
        <f t="shared" si="4"/>
        <v/>
      </c>
      <c r="C70" s="10" t="str">
        <f>IF(A70="","",IF(DAY(A70)&gt;=Settings!$B$5,DATE(YEAR(A70),MONTH(A70),Settings!$B$5),DATE(YEAR(EDATE(A70,-1)),MONTH(EDATE(A70,-1)),Settings!$B$5)))</f>
        <v/>
      </c>
      <c r="D70" s="8"/>
      <c r="E70" s="10" t="str">
        <f t="shared" si="5"/>
        <v/>
      </c>
      <c r="F70" s="10" t="str">
        <f>IF(A70="","",K69+Settings!$B$8)</f>
        <v/>
      </c>
      <c r="G70" s="11" t="str">
        <f t="shared" si="6"/>
        <v/>
      </c>
      <c r="H70" s="12" t="str">
        <f>IF(G70="","",G70/Settings!$B$8)</f>
        <v/>
      </c>
      <c r="I70" s="38" t="str">
        <f>IF(H70="","",H70*Settings!$B$11)</f>
        <v/>
      </c>
      <c r="J70" s="40" t="str">
        <f>IF(E70="","",IF(E70="W","Weekly Reset",IF(H70&gt;=1,"Very High Benefit; High Unused-Allowance Risk",IF(H70&gt;Settings!$B$17,"Highly Beneficial; Allowance May Be Underused",IF(H70&gt;=Settings!$B$17,"Highly Beneficial",IF(H70&gt;=0.4,"Moderate",IF(H70&gt;0,"Low Benefit","No Advance Benefit")))))))</f>
        <v/>
      </c>
      <c r="K70" s="10" t="str">
        <f t="shared" si="7"/>
        <v/>
      </c>
    </row>
    <row r="71" spans="1:11" ht="14.25" customHeight="1">
      <c r="A71" s="10" t="str">
        <f>IF(Settings!$B$4="","",IF(Settings!$B$4+ROW()-4&lt;EDATE(Settings!$B$4,12),Settings!$B$4+ROW()-4,""))</f>
        <v/>
      </c>
      <c r="B71" s="9" t="str">
        <f t="shared" si="4"/>
        <v/>
      </c>
      <c r="C71" s="10" t="str">
        <f>IF(A71="","",IF(DAY(A71)&gt;=Settings!$B$5,DATE(YEAR(A71),MONTH(A71),Settings!$B$5),DATE(YEAR(EDATE(A71,-1)),MONTH(EDATE(A71,-1)),Settings!$B$5)))</f>
        <v/>
      </c>
      <c r="D71" s="8"/>
      <c r="E71" s="10" t="str">
        <f t="shared" si="5"/>
        <v/>
      </c>
      <c r="F71" s="10" t="str">
        <f>IF(A71="","",K70+Settings!$B$8)</f>
        <v/>
      </c>
      <c r="G71" s="11" t="str">
        <f t="shared" si="6"/>
        <v/>
      </c>
      <c r="H71" s="12" t="str">
        <f>IF(G71="","",G71/Settings!$B$8)</f>
        <v/>
      </c>
      <c r="I71" s="38" t="str">
        <f>IF(H71="","",H71*Settings!$B$11)</f>
        <v/>
      </c>
      <c r="J71" s="40" t="str">
        <f>IF(E71="","",IF(E71="W","Weekly Reset",IF(H71&gt;=1,"Very High Benefit; High Unused-Allowance Risk",IF(H71&gt;Settings!$B$17,"Highly Beneficial; Allowance May Be Underused",IF(H71&gt;=Settings!$B$17,"Highly Beneficial",IF(H71&gt;=0.4,"Moderate",IF(H71&gt;0,"Low Benefit","No Advance Benefit")))))))</f>
        <v/>
      </c>
      <c r="K71" s="10" t="str">
        <f t="shared" si="7"/>
        <v/>
      </c>
    </row>
    <row r="72" spans="1:11" ht="14.25" customHeight="1">
      <c r="A72" s="10" t="str">
        <f>IF(Settings!$B$4="","",IF(Settings!$B$4+ROW()-4&lt;EDATE(Settings!$B$4,12),Settings!$B$4+ROW()-4,""))</f>
        <v/>
      </c>
      <c r="B72" s="9" t="str">
        <f t="shared" si="4"/>
        <v/>
      </c>
      <c r="C72" s="10" t="str">
        <f>IF(A72="","",IF(DAY(A72)&gt;=Settings!$B$5,DATE(YEAR(A72),MONTH(A72),Settings!$B$5),DATE(YEAR(EDATE(A72,-1)),MONTH(EDATE(A72,-1)),Settings!$B$5)))</f>
        <v/>
      </c>
      <c r="D72" s="8"/>
      <c r="E72" s="10" t="str">
        <f t="shared" si="5"/>
        <v/>
      </c>
      <c r="F72" s="10" t="str">
        <f>IF(A72="","",K71+Settings!$B$8)</f>
        <v/>
      </c>
      <c r="G72" s="11" t="str">
        <f t="shared" si="6"/>
        <v/>
      </c>
      <c r="H72" s="12" t="str">
        <f>IF(G72="","",G72/Settings!$B$8)</f>
        <v/>
      </c>
      <c r="I72" s="38" t="str">
        <f>IF(H72="","",H72*Settings!$B$11)</f>
        <v/>
      </c>
      <c r="J72" s="40" t="str">
        <f>IF(E72="","",IF(E72="W","Weekly Reset",IF(H72&gt;=1,"Very High Benefit; High Unused-Allowance Risk",IF(H72&gt;Settings!$B$17,"Highly Beneficial; Allowance May Be Underused",IF(H72&gt;=Settings!$B$17,"Highly Beneficial",IF(H72&gt;=0.4,"Moderate",IF(H72&gt;0,"Low Benefit","No Advance Benefit")))))))</f>
        <v/>
      </c>
      <c r="K72" s="10" t="str">
        <f t="shared" si="7"/>
        <v/>
      </c>
    </row>
    <row r="73" spans="1:11" ht="14.25" customHeight="1">
      <c r="A73" s="10" t="str">
        <f>IF(Settings!$B$4="","",IF(Settings!$B$4+ROW()-4&lt;EDATE(Settings!$B$4,12),Settings!$B$4+ROW()-4,""))</f>
        <v/>
      </c>
      <c r="B73" s="9" t="str">
        <f t="shared" si="4"/>
        <v/>
      </c>
      <c r="C73" s="10" t="str">
        <f>IF(A73="","",IF(DAY(A73)&gt;=Settings!$B$5,DATE(YEAR(A73),MONTH(A73),Settings!$B$5),DATE(YEAR(EDATE(A73,-1)),MONTH(EDATE(A73,-1)),Settings!$B$5)))</f>
        <v/>
      </c>
      <c r="D73" s="8"/>
      <c r="E73" s="10" t="str">
        <f t="shared" si="5"/>
        <v/>
      </c>
      <c r="F73" s="10" t="str">
        <f>IF(A73="","",K72+Settings!$B$8)</f>
        <v/>
      </c>
      <c r="G73" s="11" t="str">
        <f t="shared" si="6"/>
        <v/>
      </c>
      <c r="H73" s="12" t="str">
        <f>IF(G73="","",G73/Settings!$B$8)</f>
        <v/>
      </c>
      <c r="I73" s="38" t="str">
        <f>IF(H73="","",H73*Settings!$B$11)</f>
        <v/>
      </c>
      <c r="J73" s="40" t="str">
        <f>IF(E73="","",IF(E73="W","Weekly Reset",IF(H73&gt;=1,"Very High Benefit; High Unused-Allowance Risk",IF(H73&gt;Settings!$B$17,"Highly Beneficial; Allowance May Be Underused",IF(H73&gt;=Settings!$B$17,"Highly Beneficial",IF(H73&gt;=0.4,"Moderate",IF(H73&gt;0,"Low Benefit","No Advance Benefit")))))))</f>
        <v/>
      </c>
      <c r="K73" s="10" t="str">
        <f t="shared" si="7"/>
        <v/>
      </c>
    </row>
    <row r="74" spans="1:11" ht="14.25" customHeight="1">
      <c r="A74" s="10" t="str">
        <f>IF(Settings!$B$4="","",IF(Settings!$B$4+ROW()-4&lt;EDATE(Settings!$B$4,12),Settings!$B$4+ROW()-4,""))</f>
        <v/>
      </c>
      <c r="B74" s="9" t="str">
        <f t="shared" si="4"/>
        <v/>
      </c>
      <c r="C74" s="10" t="str">
        <f>IF(A74="","",IF(DAY(A74)&gt;=Settings!$B$5,DATE(YEAR(A74),MONTH(A74),Settings!$B$5),DATE(YEAR(EDATE(A74,-1)),MONTH(EDATE(A74,-1)),Settings!$B$5)))</f>
        <v/>
      </c>
      <c r="D74" s="8"/>
      <c r="E74" s="10" t="str">
        <f t="shared" si="5"/>
        <v/>
      </c>
      <c r="F74" s="10" t="str">
        <f>IF(A74="","",K73+Settings!$B$8)</f>
        <v/>
      </c>
      <c r="G74" s="11" t="str">
        <f t="shared" si="6"/>
        <v/>
      </c>
      <c r="H74" s="12" t="str">
        <f>IF(G74="","",G74/Settings!$B$8)</f>
        <v/>
      </c>
      <c r="I74" s="38" t="str">
        <f>IF(H74="","",H74*Settings!$B$11)</f>
        <v/>
      </c>
      <c r="J74" s="40" t="str">
        <f>IF(E74="","",IF(E74="W","Weekly Reset",IF(H74&gt;=1,"Very High Benefit; High Unused-Allowance Risk",IF(H74&gt;Settings!$B$17,"Highly Beneficial; Allowance May Be Underused",IF(H74&gt;=Settings!$B$17,"Highly Beneficial",IF(H74&gt;=0.4,"Moderate",IF(H74&gt;0,"Low Benefit","No Advance Benefit")))))))</f>
        <v/>
      </c>
      <c r="K74" s="10" t="str">
        <f t="shared" si="7"/>
        <v/>
      </c>
    </row>
    <row r="75" spans="1:11" ht="14.25" customHeight="1">
      <c r="A75" s="10" t="str">
        <f>IF(Settings!$B$4="","",IF(Settings!$B$4+ROW()-4&lt;EDATE(Settings!$B$4,12),Settings!$B$4+ROW()-4,""))</f>
        <v/>
      </c>
      <c r="B75" s="9" t="str">
        <f t="shared" si="4"/>
        <v/>
      </c>
      <c r="C75" s="10" t="str">
        <f>IF(A75="","",IF(DAY(A75)&gt;=Settings!$B$5,DATE(YEAR(A75),MONTH(A75),Settings!$B$5),DATE(YEAR(EDATE(A75,-1)),MONTH(EDATE(A75,-1)),Settings!$B$5)))</f>
        <v/>
      </c>
      <c r="D75" s="8"/>
      <c r="E75" s="10" t="str">
        <f t="shared" si="5"/>
        <v/>
      </c>
      <c r="F75" s="10" t="str">
        <f>IF(A75="","",K74+Settings!$B$8)</f>
        <v/>
      </c>
      <c r="G75" s="11" t="str">
        <f t="shared" si="6"/>
        <v/>
      </c>
      <c r="H75" s="12" t="str">
        <f>IF(G75="","",G75/Settings!$B$8)</f>
        <v/>
      </c>
      <c r="I75" s="38" t="str">
        <f>IF(H75="","",H75*Settings!$B$11)</f>
        <v/>
      </c>
      <c r="J75" s="40" t="str">
        <f>IF(E75="","",IF(E75="W","Weekly Reset",IF(H75&gt;=1,"Very High Benefit; High Unused-Allowance Risk",IF(H75&gt;Settings!$B$17,"Highly Beneficial; Allowance May Be Underused",IF(H75&gt;=Settings!$B$17,"Highly Beneficial",IF(H75&gt;=0.4,"Moderate",IF(H75&gt;0,"Low Benefit","No Advance Benefit")))))))</f>
        <v/>
      </c>
      <c r="K75" s="10" t="str">
        <f t="shared" si="7"/>
        <v/>
      </c>
    </row>
    <row r="76" spans="1:11" ht="14.25" customHeight="1">
      <c r="A76" s="10" t="str">
        <f>IF(Settings!$B$4="","",IF(Settings!$B$4+ROW()-4&lt;EDATE(Settings!$B$4,12),Settings!$B$4+ROW()-4,""))</f>
        <v/>
      </c>
      <c r="B76" s="9" t="str">
        <f t="shared" si="4"/>
        <v/>
      </c>
      <c r="C76" s="10" t="str">
        <f>IF(A76="","",IF(DAY(A76)&gt;=Settings!$B$5,DATE(YEAR(A76),MONTH(A76),Settings!$B$5),DATE(YEAR(EDATE(A76,-1)),MONTH(EDATE(A76,-1)),Settings!$B$5)))</f>
        <v/>
      </c>
      <c r="D76" s="8"/>
      <c r="E76" s="10" t="str">
        <f t="shared" si="5"/>
        <v/>
      </c>
      <c r="F76" s="10" t="str">
        <f>IF(A76="","",K75+Settings!$B$8)</f>
        <v/>
      </c>
      <c r="G76" s="11" t="str">
        <f t="shared" si="6"/>
        <v/>
      </c>
      <c r="H76" s="12" t="str">
        <f>IF(G76="","",G76/Settings!$B$8)</f>
        <v/>
      </c>
      <c r="I76" s="38" t="str">
        <f>IF(H76="","",H76*Settings!$B$11)</f>
        <v/>
      </c>
      <c r="J76" s="40" t="str">
        <f>IF(E76="","",IF(E76="W","Weekly Reset",IF(H76&gt;=1,"Very High Benefit; High Unused-Allowance Risk",IF(H76&gt;Settings!$B$17,"Highly Beneficial; Allowance May Be Underused",IF(H76&gt;=Settings!$B$17,"Highly Beneficial",IF(H76&gt;=0.4,"Moderate",IF(H76&gt;0,"Low Benefit","No Advance Benefit")))))))</f>
        <v/>
      </c>
      <c r="K76" s="10" t="str">
        <f t="shared" si="7"/>
        <v/>
      </c>
    </row>
    <row r="77" spans="1:11" ht="14.25" customHeight="1">
      <c r="A77" s="10" t="str">
        <f>IF(Settings!$B$4="","",IF(Settings!$B$4+ROW()-4&lt;EDATE(Settings!$B$4,12),Settings!$B$4+ROW()-4,""))</f>
        <v/>
      </c>
      <c r="B77" s="9" t="str">
        <f t="shared" si="4"/>
        <v/>
      </c>
      <c r="C77" s="10" t="str">
        <f>IF(A77="","",IF(DAY(A77)&gt;=Settings!$B$5,DATE(YEAR(A77),MONTH(A77),Settings!$B$5),DATE(YEAR(EDATE(A77,-1)),MONTH(EDATE(A77,-1)),Settings!$B$5)))</f>
        <v/>
      </c>
      <c r="D77" s="8"/>
      <c r="E77" s="10" t="str">
        <f t="shared" si="5"/>
        <v/>
      </c>
      <c r="F77" s="10" t="str">
        <f>IF(A77="","",K76+Settings!$B$8)</f>
        <v/>
      </c>
      <c r="G77" s="11" t="str">
        <f t="shared" si="6"/>
        <v/>
      </c>
      <c r="H77" s="12" t="str">
        <f>IF(G77="","",G77/Settings!$B$8)</f>
        <v/>
      </c>
      <c r="I77" s="38" t="str">
        <f>IF(H77="","",H77*Settings!$B$11)</f>
        <v/>
      </c>
      <c r="J77" s="40" t="str">
        <f>IF(E77="","",IF(E77="W","Weekly Reset",IF(H77&gt;=1,"Very High Benefit; High Unused-Allowance Risk",IF(H77&gt;Settings!$B$17,"Highly Beneficial; Allowance May Be Underused",IF(H77&gt;=Settings!$B$17,"Highly Beneficial",IF(H77&gt;=0.4,"Moderate",IF(H77&gt;0,"Low Benefit","No Advance Benefit")))))))</f>
        <v/>
      </c>
      <c r="K77" s="10" t="str">
        <f t="shared" si="7"/>
        <v/>
      </c>
    </row>
    <row r="78" spans="1:11" ht="14.25" customHeight="1">
      <c r="A78" s="10" t="str">
        <f>IF(Settings!$B$4="","",IF(Settings!$B$4+ROW()-4&lt;EDATE(Settings!$B$4,12),Settings!$B$4+ROW()-4,""))</f>
        <v/>
      </c>
      <c r="B78" s="9" t="str">
        <f t="shared" si="4"/>
        <v/>
      </c>
      <c r="C78" s="10" t="str">
        <f>IF(A78="","",IF(DAY(A78)&gt;=Settings!$B$5,DATE(YEAR(A78),MONTH(A78),Settings!$B$5),DATE(YEAR(EDATE(A78,-1)),MONTH(EDATE(A78,-1)),Settings!$B$5)))</f>
        <v/>
      </c>
      <c r="D78" s="8"/>
      <c r="E78" s="10" t="str">
        <f t="shared" si="5"/>
        <v/>
      </c>
      <c r="F78" s="10" t="str">
        <f>IF(A78="","",K77+Settings!$B$8)</f>
        <v/>
      </c>
      <c r="G78" s="11" t="str">
        <f t="shared" si="6"/>
        <v/>
      </c>
      <c r="H78" s="12" t="str">
        <f>IF(G78="","",G78/Settings!$B$8)</f>
        <v/>
      </c>
      <c r="I78" s="38" t="str">
        <f>IF(H78="","",H78*Settings!$B$11)</f>
        <v/>
      </c>
      <c r="J78" s="40" t="str">
        <f>IF(E78="","",IF(E78="W","Weekly Reset",IF(H78&gt;=1,"Very High Benefit; High Unused-Allowance Risk",IF(H78&gt;Settings!$B$17,"Highly Beneficial; Allowance May Be Underused",IF(H78&gt;=Settings!$B$17,"Highly Beneficial",IF(H78&gt;=0.4,"Moderate",IF(H78&gt;0,"Low Benefit","No Advance Benefit")))))))</f>
        <v/>
      </c>
      <c r="K78" s="10" t="str">
        <f t="shared" si="7"/>
        <v/>
      </c>
    </row>
    <row r="79" spans="1:11" ht="14.25" customHeight="1">
      <c r="A79" s="10" t="str">
        <f>IF(Settings!$B$4="","",IF(Settings!$B$4+ROW()-4&lt;EDATE(Settings!$B$4,12),Settings!$B$4+ROW()-4,""))</f>
        <v/>
      </c>
      <c r="B79" s="9" t="str">
        <f t="shared" si="4"/>
        <v/>
      </c>
      <c r="C79" s="10" t="str">
        <f>IF(A79="","",IF(DAY(A79)&gt;=Settings!$B$5,DATE(YEAR(A79),MONTH(A79),Settings!$B$5),DATE(YEAR(EDATE(A79,-1)),MONTH(EDATE(A79,-1)),Settings!$B$5)))</f>
        <v/>
      </c>
      <c r="D79" s="8"/>
      <c r="E79" s="10" t="str">
        <f t="shared" si="5"/>
        <v/>
      </c>
      <c r="F79" s="10" t="str">
        <f>IF(A79="","",K78+Settings!$B$8)</f>
        <v/>
      </c>
      <c r="G79" s="11" t="str">
        <f t="shared" si="6"/>
        <v/>
      </c>
      <c r="H79" s="12" t="str">
        <f>IF(G79="","",G79/Settings!$B$8)</f>
        <v/>
      </c>
      <c r="I79" s="38" t="str">
        <f>IF(H79="","",H79*Settings!$B$11)</f>
        <v/>
      </c>
      <c r="J79" s="40" t="str">
        <f>IF(E79="","",IF(E79="W","Weekly Reset",IF(H79&gt;=1,"Very High Benefit; High Unused-Allowance Risk",IF(H79&gt;Settings!$B$17,"Highly Beneficial; Allowance May Be Underused",IF(H79&gt;=Settings!$B$17,"Highly Beneficial",IF(H79&gt;=0.4,"Moderate",IF(H79&gt;0,"Low Benefit","No Advance Benefit")))))))</f>
        <v/>
      </c>
      <c r="K79" s="10" t="str">
        <f t="shared" si="7"/>
        <v/>
      </c>
    </row>
    <row r="80" spans="1:11" ht="14.25" customHeight="1">
      <c r="A80" s="10" t="str">
        <f>IF(Settings!$B$4="","",IF(Settings!$B$4+ROW()-4&lt;EDATE(Settings!$B$4,12),Settings!$B$4+ROW()-4,""))</f>
        <v/>
      </c>
      <c r="B80" s="9" t="str">
        <f t="shared" si="4"/>
        <v/>
      </c>
      <c r="C80" s="10" t="str">
        <f>IF(A80="","",IF(DAY(A80)&gt;=Settings!$B$5,DATE(YEAR(A80),MONTH(A80),Settings!$B$5),DATE(YEAR(EDATE(A80,-1)),MONTH(EDATE(A80,-1)),Settings!$B$5)))</f>
        <v/>
      </c>
      <c r="D80" s="8"/>
      <c r="E80" s="10" t="str">
        <f t="shared" si="5"/>
        <v/>
      </c>
      <c r="F80" s="10" t="str">
        <f>IF(A80="","",K79+Settings!$B$8)</f>
        <v/>
      </c>
      <c r="G80" s="11" t="str">
        <f t="shared" si="6"/>
        <v/>
      </c>
      <c r="H80" s="12" t="str">
        <f>IF(G80="","",G80/Settings!$B$8)</f>
        <v/>
      </c>
      <c r="I80" s="38" t="str">
        <f>IF(H80="","",H80*Settings!$B$11)</f>
        <v/>
      </c>
      <c r="J80" s="40" t="str">
        <f>IF(E80="","",IF(E80="W","Weekly Reset",IF(H80&gt;=1,"Very High Benefit; High Unused-Allowance Risk",IF(H80&gt;Settings!$B$17,"Highly Beneficial; Allowance May Be Underused",IF(H80&gt;=Settings!$B$17,"Highly Beneficial",IF(H80&gt;=0.4,"Moderate",IF(H80&gt;0,"Low Benefit","No Advance Benefit")))))))</f>
        <v/>
      </c>
      <c r="K80" s="10" t="str">
        <f t="shared" si="7"/>
        <v/>
      </c>
    </row>
    <row r="81" spans="1:11" ht="14.25" customHeight="1">
      <c r="A81" s="10" t="str">
        <f>IF(Settings!$B$4="","",IF(Settings!$B$4+ROW()-4&lt;EDATE(Settings!$B$4,12),Settings!$B$4+ROW()-4,""))</f>
        <v/>
      </c>
      <c r="B81" s="9" t="str">
        <f t="shared" si="4"/>
        <v/>
      </c>
      <c r="C81" s="10" t="str">
        <f>IF(A81="","",IF(DAY(A81)&gt;=Settings!$B$5,DATE(YEAR(A81),MONTH(A81),Settings!$B$5),DATE(YEAR(EDATE(A81,-1)),MONTH(EDATE(A81,-1)),Settings!$B$5)))</f>
        <v/>
      </c>
      <c r="D81" s="8"/>
      <c r="E81" s="10" t="str">
        <f t="shared" si="5"/>
        <v/>
      </c>
      <c r="F81" s="10" t="str">
        <f>IF(A81="","",K80+Settings!$B$8)</f>
        <v/>
      </c>
      <c r="G81" s="11" t="str">
        <f t="shared" si="6"/>
        <v/>
      </c>
      <c r="H81" s="12" t="str">
        <f>IF(G81="","",G81/Settings!$B$8)</f>
        <v/>
      </c>
      <c r="I81" s="38" t="str">
        <f>IF(H81="","",H81*Settings!$B$11)</f>
        <v/>
      </c>
      <c r="J81" s="40" t="str">
        <f>IF(E81="","",IF(E81="W","Weekly Reset",IF(H81&gt;=1,"Very High Benefit; High Unused-Allowance Risk",IF(H81&gt;Settings!$B$17,"Highly Beneficial; Allowance May Be Underused",IF(H81&gt;=Settings!$B$17,"Highly Beneficial",IF(H81&gt;=0.4,"Moderate",IF(H81&gt;0,"Low Benefit","No Advance Benefit")))))))</f>
        <v/>
      </c>
      <c r="K81" s="10" t="str">
        <f t="shared" si="7"/>
        <v/>
      </c>
    </row>
    <row r="82" spans="1:11" ht="14.25" customHeight="1">
      <c r="A82" s="10" t="str">
        <f>IF(Settings!$B$4="","",IF(Settings!$B$4+ROW()-4&lt;EDATE(Settings!$B$4,12),Settings!$B$4+ROW()-4,""))</f>
        <v/>
      </c>
      <c r="B82" s="9" t="str">
        <f t="shared" si="4"/>
        <v/>
      </c>
      <c r="C82" s="10" t="str">
        <f>IF(A82="","",IF(DAY(A82)&gt;=Settings!$B$5,DATE(YEAR(A82),MONTH(A82),Settings!$B$5),DATE(YEAR(EDATE(A82,-1)),MONTH(EDATE(A82,-1)),Settings!$B$5)))</f>
        <v/>
      </c>
      <c r="D82" s="8"/>
      <c r="E82" s="10" t="str">
        <f t="shared" si="5"/>
        <v/>
      </c>
      <c r="F82" s="10" t="str">
        <f>IF(A82="","",K81+Settings!$B$8)</f>
        <v/>
      </c>
      <c r="G82" s="11" t="str">
        <f t="shared" si="6"/>
        <v/>
      </c>
      <c r="H82" s="12" t="str">
        <f>IF(G82="","",G82/Settings!$B$8)</f>
        <v/>
      </c>
      <c r="I82" s="38" t="str">
        <f>IF(H82="","",H82*Settings!$B$11)</f>
        <v/>
      </c>
      <c r="J82" s="40" t="str">
        <f>IF(E82="","",IF(E82="W","Weekly Reset",IF(H82&gt;=1,"Very High Benefit; High Unused-Allowance Risk",IF(H82&gt;Settings!$B$17,"Highly Beneficial; Allowance May Be Underused",IF(H82&gt;=Settings!$B$17,"Highly Beneficial",IF(H82&gt;=0.4,"Moderate",IF(H82&gt;0,"Low Benefit","No Advance Benefit")))))))</f>
        <v/>
      </c>
      <c r="K82" s="10" t="str">
        <f t="shared" si="7"/>
        <v/>
      </c>
    </row>
    <row r="83" spans="1:11" ht="14.25" customHeight="1">
      <c r="A83" s="10" t="str">
        <f>IF(Settings!$B$4="","",IF(Settings!$B$4+ROW()-4&lt;EDATE(Settings!$B$4,12),Settings!$B$4+ROW()-4,""))</f>
        <v/>
      </c>
      <c r="B83" s="9" t="str">
        <f t="shared" si="4"/>
        <v/>
      </c>
      <c r="C83" s="10" t="str">
        <f>IF(A83="","",IF(DAY(A83)&gt;=Settings!$B$5,DATE(YEAR(A83),MONTH(A83),Settings!$B$5),DATE(YEAR(EDATE(A83,-1)),MONTH(EDATE(A83,-1)),Settings!$B$5)))</f>
        <v/>
      </c>
      <c r="D83" s="8"/>
      <c r="E83" s="10" t="str">
        <f t="shared" si="5"/>
        <v/>
      </c>
      <c r="F83" s="10" t="str">
        <f>IF(A83="","",K82+Settings!$B$8)</f>
        <v/>
      </c>
      <c r="G83" s="11" t="str">
        <f t="shared" si="6"/>
        <v/>
      </c>
      <c r="H83" s="12" t="str">
        <f>IF(G83="","",G83/Settings!$B$8)</f>
        <v/>
      </c>
      <c r="I83" s="38" t="str">
        <f>IF(H83="","",H83*Settings!$B$11)</f>
        <v/>
      </c>
      <c r="J83" s="40" t="str">
        <f>IF(E83="","",IF(E83="W","Weekly Reset",IF(H83&gt;=1,"Very High Benefit; High Unused-Allowance Risk",IF(H83&gt;Settings!$B$17,"Highly Beneficial; Allowance May Be Underused",IF(H83&gt;=Settings!$B$17,"Highly Beneficial",IF(H83&gt;=0.4,"Moderate",IF(H83&gt;0,"Low Benefit","No Advance Benefit")))))))</f>
        <v/>
      </c>
      <c r="K83" s="10" t="str">
        <f t="shared" si="7"/>
        <v/>
      </c>
    </row>
    <row r="84" spans="1:11" ht="14.25" customHeight="1">
      <c r="A84" s="10" t="str">
        <f>IF(Settings!$B$4="","",IF(Settings!$B$4+ROW()-4&lt;EDATE(Settings!$B$4,12),Settings!$B$4+ROW()-4,""))</f>
        <v/>
      </c>
      <c r="B84" s="9" t="str">
        <f t="shared" si="4"/>
        <v/>
      </c>
      <c r="C84" s="10" t="str">
        <f>IF(A84="","",IF(DAY(A84)&gt;=Settings!$B$5,DATE(YEAR(A84),MONTH(A84),Settings!$B$5),DATE(YEAR(EDATE(A84,-1)),MONTH(EDATE(A84,-1)),Settings!$B$5)))</f>
        <v/>
      </c>
      <c r="D84" s="8"/>
      <c r="E84" s="10" t="str">
        <f t="shared" si="5"/>
        <v/>
      </c>
      <c r="F84" s="10" t="str">
        <f>IF(A84="","",K83+Settings!$B$8)</f>
        <v/>
      </c>
      <c r="G84" s="11" t="str">
        <f t="shared" si="6"/>
        <v/>
      </c>
      <c r="H84" s="12" t="str">
        <f>IF(G84="","",G84/Settings!$B$8)</f>
        <v/>
      </c>
      <c r="I84" s="38" t="str">
        <f>IF(H84="","",H84*Settings!$B$11)</f>
        <v/>
      </c>
      <c r="J84" s="40" t="str">
        <f>IF(E84="","",IF(E84="W","Weekly Reset",IF(H84&gt;=1,"Very High Benefit; High Unused-Allowance Risk",IF(H84&gt;Settings!$B$17,"Highly Beneficial; Allowance May Be Underused",IF(H84&gt;=Settings!$B$17,"Highly Beneficial",IF(H84&gt;=0.4,"Moderate",IF(H84&gt;0,"Low Benefit","No Advance Benefit")))))))</f>
        <v/>
      </c>
      <c r="K84" s="10" t="str">
        <f t="shared" si="7"/>
        <v/>
      </c>
    </row>
    <row r="85" spans="1:11" ht="14.25" customHeight="1">
      <c r="A85" s="10" t="str">
        <f>IF(Settings!$B$4="","",IF(Settings!$B$4+ROW()-4&lt;EDATE(Settings!$B$4,12),Settings!$B$4+ROW()-4,""))</f>
        <v/>
      </c>
      <c r="B85" s="9" t="str">
        <f t="shared" si="4"/>
        <v/>
      </c>
      <c r="C85" s="10" t="str">
        <f>IF(A85="","",IF(DAY(A85)&gt;=Settings!$B$5,DATE(YEAR(A85),MONTH(A85),Settings!$B$5),DATE(YEAR(EDATE(A85,-1)),MONTH(EDATE(A85,-1)),Settings!$B$5)))</f>
        <v/>
      </c>
      <c r="D85" s="8"/>
      <c r="E85" s="10" t="str">
        <f t="shared" si="5"/>
        <v/>
      </c>
      <c r="F85" s="10" t="str">
        <f>IF(A85="","",K84+Settings!$B$8)</f>
        <v/>
      </c>
      <c r="G85" s="11" t="str">
        <f t="shared" si="6"/>
        <v/>
      </c>
      <c r="H85" s="12" t="str">
        <f>IF(G85="","",G85/Settings!$B$8)</f>
        <v/>
      </c>
      <c r="I85" s="38" t="str">
        <f>IF(H85="","",H85*Settings!$B$11)</f>
        <v/>
      </c>
      <c r="J85" s="40" t="str">
        <f>IF(E85="","",IF(E85="W","Weekly Reset",IF(H85&gt;=1,"Very High Benefit; High Unused-Allowance Risk",IF(H85&gt;Settings!$B$17,"Highly Beneficial; Allowance May Be Underused",IF(H85&gt;=Settings!$B$17,"Highly Beneficial",IF(H85&gt;=0.4,"Moderate",IF(H85&gt;0,"Low Benefit","No Advance Benefit")))))))</f>
        <v/>
      </c>
      <c r="K85" s="10" t="str">
        <f t="shared" si="7"/>
        <v/>
      </c>
    </row>
    <row r="86" spans="1:11" ht="14.25" customHeight="1">
      <c r="A86" s="10" t="str">
        <f>IF(Settings!$B$4="","",IF(Settings!$B$4+ROW()-4&lt;EDATE(Settings!$B$4,12),Settings!$B$4+ROW()-4,""))</f>
        <v/>
      </c>
      <c r="B86" s="9" t="str">
        <f t="shared" si="4"/>
        <v/>
      </c>
      <c r="C86" s="10" t="str">
        <f>IF(A86="","",IF(DAY(A86)&gt;=Settings!$B$5,DATE(YEAR(A86),MONTH(A86),Settings!$B$5),DATE(YEAR(EDATE(A86,-1)),MONTH(EDATE(A86,-1)),Settings!$B$5)))</f>
        <v/>
      </c>
      <c r="D86" s="8"/>
      <c r="E86" s="10" t="str">
        <f t="shared" si="5"/>
        <v/>
      </c>
      <c r="F86" s="10" t="str">
        <f>IF(A86="","",K85+Settings!$B$8)</f>
        <v/>
      </c>
      <c r="G86" s="11" t="str">
        <f t="shared" si="6"/>
        <v/>
      </c>
      <c r="H86" s="12" t="str">
        <f>IF(G86="","",G86/Settings!$B$8)</f>
        <v/>
      </c>
      <c r="I86" s="38" t="str">
        <f>IF(H86="","",H86*Settings!$B$11)</f>
        <v/>
      </c>
      <c r="J86" s="40" t="str">
        <f>IF(E86="","",IF(E86="W","Weekly Reset",IF(H86&gt;=1,"Very High Benefit; High Unused-Allowance Risk",IF(H86&gt;Settings!$B$17,"Highly Beneficial; Allowance May Be Underused",IF(H86&gt;=Settings!$B$17,"Highly Beneficial",IF(H86&gt;=0.4,"Moderate",IF(H86&gt;0,"Low Benefit","No Advance Benefit")))))))</f>
        <v/>
      </c>
      <c r="K86" s="10" t="str">
        <f t="shared" si="7"/>
        <v/>
      </c>
    </row>
    <row r="87" spans="1:11" ht="14.25" customHeight="1">
      <c r="A87" s="10" t="str">
        <f>IF(Settings!$B$4="","",IF(Settings!$B$4+ROW()-4&lt;EDATE(Settings!$B$4,12),Settings!$B$4+ROW()-4,""))</f>
        <v/>
      </c>
      <c r="B87" s="9" t="str">
        <f t="shared" si="4"/>
        <v/>
      </c>
      <c r="C87" s="10" t="str">
        <f>IF(A87="","",IF(DAY(A87)&gt;=Settings!$B$5,DATE(YEAR(A87),MONTH(A87),Settings!$B$5),DATE(YEAR(EDATE(A87,-1)),MONTH(EDATE(A87,-1)),Settings!$B$5)))</f>
        <v/>
      </c>
      <c r="D87" s="8"/>
      <c r="E87" s="10" t="str">
        <f t="shared" si="5"/>
        <v/>
      </c>
      <c r="F87" s="10" t="str">
        <f>IF(A87="","",K86+Settings!$B$8)</f>
        <v/>
      </c>
      <c r="G87" s="11" t="str">
        <f t="shared" si="6"/>
        <v/>
      </c>
      <c r="H87" s="12" t="str">
        <f>IF(G87="","",G87/Settings!$B$8)</f>
        <v/>
      </c>
      <c r="I87" s="38" t="str">
        <f>IF(H87="","",H87*Settings!$B$11)</f>
        <v/>
      </c>
      <c r="J87" s="40" t="str">
        <f>IF(E87="","",IF(E87="W","Weekly Reset",IF(H87&gt;=1,"Very High Benefit; High Unused-Allowance Risk",IF(H87&gt;Settings!$B$17,"Highly Beneficial; Allowance May Be Underused",IF(H87&gt;=Settings!$B$17,"Highly Beneficial",IF(H87&gt;=0.4,"Moderate",IF(H87&gt;0,"Low Benefit","No Advance Benefit")))))))</f>
        <v/>
      </c>
      <c r="K87" s="10" t="str">
        <f t="shared" si="7"/>
        <v/>
      </c>
    </row>
    <row r="88" spans="1:11" ht="14.25" customHeight="1">
      <c r="A88" s="10" t="str">
        <f>IF(Settings!$B$4="","",IF(Settings!$B$4+ROW()-4&lt;EDATE(Settings!$B$4,12),Settings!$B$4+ROW()-4,""))</f>
        <v/>
      </c>
      <c r="B88" s="9" t="str">
        <f t="shared" si="4"/>
        <v/>
      </c>
      <c r="C88" s="10" t="str">
        <f>IF(A88="","",IF(DAY(A88)&gt;=Settings!$B$5,DATE(YEAR(A88),MONTH(A88),Settings!$B$5),DATE(YEAR(EDATE(A88,-1)),MONTH(EDATE(A88,-1)),Settings!$B$5)))</f>
        <v/>
      </c>
      <c r="D88" s="8"/>
      <c r="E88" s="10" t="str">
        <f t="shared" si="5"/>
        <v/>
      </c>
      <c r="F88" s="10" t="str">
        <f>IF(A88="","",K87+Settings!$B$8)</f>
        <v/>
      </c>
      <c r="G88" s="11" t="str">
        <f t="shared" si="6"/>
        <v/>
      </c>
      <c r="H88" s="12" t="str">
        <f>IF(G88="","",G88/Settings!$B$8)</f>
        <v/>
      </c>
      <c r="I88" s="38" t="str">
        <f>IF(H88="","",H88*Settings!$B$11)</f>
        <v/>
      </c>
      <c r="J88" s="40" t="str">
        <f>IF(E88="","",IF(E88="W","Weekly Reset",IF(H88&gt;=1,"Very High Benefit; High Unused-Allowance Risk",IF(H88&gt;Settings!$B$17,"Highly Beneficial; Allowance May Be Underused",IF(H88&gt;=Settings!$B$17,"Highly Beneficial",IF(H88&gt;=0.4,"Moderate",IF(H88&gt;0,"Low Benefit","No Advance Benefit")))))))</f>
        <v/>
      </c>
      <c r="K88" s="10" t="str">
        <f t="shared" si="7"/>
        <v/>
      </c>
    </row>
    <row r="89" spans="1:11" ht="14.25" customHeight="1">
      <c r="A89" s="10" t="str">
        <f>IF(Settings!$B$4="","",IF(Settings!$B$4+ROW()-4&lt;EDATE(Settings!$B$4,12),Settings!$B$4+ROW()-4,""))</f>
        <v/>
      </c>
      <c r="B89" s="9" t="str">
        <f t="shared" si="4"/>
        <v/>
      </c>
      <c r="C89" s="10" t="str">
        <f>IF(A89="","",IF(DAY(A89)&gt;=Settings!$B$5,DATE(YEAR(A89),MONTH(A89),Settings!$B$5),DATE(YEAR(EDATE(A89,-1)),MONTH(EDATE(A89,-1)),Settings!$B$5)))</f>
        <v/>
      </c>
      <c r="D89" s="8"/>
      <c r="E89" s="10" t="str">
        <f t="shared" si="5"/>
        <v/>
      </c>
      <c r="F89" s="10" t="str">
        <f>IF(A89="","",K88+Settings!$B$8)</f>
        <v/>
      </c>
      <c r="G89" s="11" t="str">
        <f t="shared" si="6"/>
        <v/>
      </c>
      <c r="H89" s="12" t="str">
        <f>IF(G89="","",G89/Settings!$B$8)</f>
        <v/>
      </c>
      <c r="I89" s="38" t="str">
        <f>IF(H89="","",H89*Settings!$B$11)</f>
        <v/>
      </c>
      <c r="J89" s="40" t="str">
        <f>IF(E89="","",IF(E89="W","Weekly Reset",IF(H89&gt;=1,"Very High Benefit; High Unused-Allowance Risk",IF(H89&gt;Settings!$B$17,"Highly Beneficial; Allowance May Be Underused",IF(H89&gt;=Settings!$B$17,"Highly Beneficial",IF(H89&gt;=0.4,"Moderate",IF(H89&gt;0,"Low Benefit","No Advance Benefit")))))))</f>
        <v/>
      </c>
      <c r="K89" s="10" t="str">
        <f t="shared" si="7"/>
        <v/>
      </c>
    </row>
    <row r="90" spans="1:11" ht="14.25" customHeight="1">
      <c r="A90" s="10" t="str">
        <f>IF(Settings!$B$4="","",IF(Settings!$B$4+ROW()-4&lt;EDATE(Settings!$B$4,12),Settings!$B$4+ROW()-4,""))</f>
        <v/>
      </c>
      <c r="B90" s="9" t="str">
        <f t="shared" si="4"/>
        <v/>
      </c>
      <c r="C90" s="10" t="str">
        <f>IF(A90="","",IF(DAY(A90)&gt;=Settings!$B$5,DATE(YEAR(A90),MONTH(A90),Settings!$B$5),DATE(YEAR(EDATE(A90,-1)),MONTH(EDATE(A90,-1)),Settings!$B$5)))</f>
        <v/>
      </c>
      <c r="D90" s="8"/>
      <c r="E90" s="10" t="str">
        <f t="shared" si="5"/>
        <v/>
      </c>
      <c r="F90" s="10" t="str">
        <f>IF(A90="","",K89+Settings!$B$8)</f>
        <v/>
      </c>
      <c r="G90" s="11" t="str">
        <f t="shared" si="6"/>
        <v/>
      </c>
      <c r="H90" s="12" t="str">
        <f>IF(G90="","",G90/Settings!$B$8)</f>
        <v/>
      </c>
      <c r="I90" s="38" t="str">
        <f>IF(H90="","",H90*Settings!$B$11)</f>
        <v/>
      </c>
      <c r="J90" s="40" t="str">
        <f>IF(E90="","",IF(E90="W","Weekly Reset",IF(H90&gt;=1,"Very High Benefit; High Unused-Allowance Risk",IF(H90&gt;Settings!$B$17,"Highly Beneficial; Allowance May Be Underused",IF(H90&gt;=Settings!$B$17,"Highly Beneficial",IF(H90&gt;=0.4,"Moderate",IF(H90&gt;0,"Low Benefit","No Advance Benefit")))))))</f>
        <v/>
      </c>
      <c r="K90" s="10" t="str">
        <f t="shared" si="7"/>
        <v/>
      </c>
    </row>
    <row r="91" spans="1:11" ht="14.25" customHeight="1">
      <c r="A91" s="10" t="str">
        <f>IF(Settings!$B$4="","",IF(Settings!$B$4+ROW()-4&lt;EDATE(Settings!$B$4,12),Settings!$B$4+ROW()-4,""))</f>
        <v/>
      </c>
      <c r="B91" s="9" t="str">
        <f t="shared" si="4"/>
        <v/>
      </c>
      <c r="C91" s="10" t="str">
        <f>IF(A91="","",IF(DAY(A91)&gt;=Settings!$B$5,DATE(YEAR(A91),MONTH(A91),Settings!$B$5),DATE(YEAR(EDATE(A91,-1)),MONTH(EDATE(A91,-1)),Settings!$B$5)))</f>
        <v/>
      </c>
      <c r="D91" s="8"/>
      <c r="E91" s="10" t="str">
        <f t="shared" si="5"/>
        <v/>
      </c>
      <c r="F91" s="10" t="str">
        <f>IF(A91="","",K90+Settings!$B$8)</f>
        <v/>
      </c>
      <c r="G91" s="11" t="str">
        <f t="shared" si="6"/>
        <v/>
      </c>
      <c r="H91" s="12" t="str">
        <f>IF(G91="","",G91/Settings!$B$8)</f>
        <v/>
      </c>
      <c r="I91" s="38" t="str">
        <f>IF(H91="","",H91*Settings!$B$11)</f>
        <v/>
      </c>
      <c r="J91" s="40" t="str">
        <f>IF(E91="","",IF(E91="W","Weekly Reset",IF(H91&gt;=1,"Very High Benefit; High Unused-Allowance Risk",IF(H91&gt;Settings!$B$17,"Highly Beneficial; Allowance May Be Underused",IF(H91&gt;=Settings!$B$17,"Highly Beneficial",IF(H91&gt;=0.4,"Moderate",IF(H91&gt;0,"Low Benefit","No Advance Benefit")))))))</f>
        <v/>
      </c>
      <c r="K91" s="10" t="str">
        <f t="shared" si="7"/>
        <v/>
      </c>
    </row>
    <row r="92" spans="1:11" ht="14.25" customHeight="1">
      <c r="A92" s="10" t="str">
        <f>IF(Settings!$B$4="","",IF(Settings!$B$4+ROW()-4&lt;EDATE(Settings!$B$4,12),Settings!$B$4+ROW()-4,""))</f>
        <v/>
      </c>
      <c r="B92" s="9" t="str">
        <f t="shared" si="4"/>
        <v/>
      </c>
      <c r="C92" s="10" t="str">
        <f>IF(A92="","",IF(DAY(A92)&gt;=Settings!$B$5,DATE(YEAR(A92),MONTH(A92),Settings!$B$5),DATE(YEAR(EDATE(A92,-1)),MONTH(EDATE(A92,-1)),Settings!$B$5)))</f>
        <v/>
      </c>
      <c r="D92" s="8"/>
      <c r="E92" s="10" t="str">
        <f t="shared" si="5"/>
        <v/>
      </c>
      <c r="F92" s="10" t="str">
        <f>IF(A92="","",K91+Settings!$B$8)</f>
        <v/>
      </c>
      <c r="G92" s="11" t="str">
        <f t="shared" si="6"/>
        <v/>
      </c>
      <c r="H92" s="12" t="str">
        <f>IF(G92="","",G92/Settings!$B$8)</f>
        <v/>
      </c>
      <c r="I92" s="38" t="str">
        <f>IF(H92="","",H92*Settings!$B$11)</f>
        <v/>
      </c>
      <c r="J92" s="40" t="str">
        <f>IF(E92="","",IF(E92="W","Weekly Reset",IF(H92&gt;=1,"Very High Benefit; High Unused-Allowance Risk",IF(H92&gt;Settings!$B$17,"Highly Beneficial; Allowance May Be Underused",IF(H92&gt;=Settings!$B$17,"Highly Beneficial",IF(H92&gt;=0.4,"Moderate",IF(H92&gt;0,"Low Benefit","No Advance Benefit")))))))</f>
        <v/>
      </c>
      <c r="K92" s="10" t="str">
        <f t="shared" si="7"/>
        <v/>
      </c>
    </row>
    <row r="93" spans="1:11" ht="14.25" customHeight="1">
      <c r="A93" s="10" t="str">
        <f>IF(Settings!$B$4="","",IF(Settings!$B$4+ROW()-4&lt;EDATE(Settings!$B$4,12),Settings!$B$4+ROW()-4,""))</f>
        <v/>
      </c>
      <c r="B93" s="9" t="str">
        <f t="shared" si="4"/>
        <v/>
      </c>
      <c r="C93" s="10" t="str">
        <f>IF(A93="","",IF(DAY(A93)&gt;=Settings!$B$5,DATE(YEAR(A93),MONTH(A93),Settings!$B$5),DATE(YEAR(EDATE(A93,-1)),MONTH(EDATE(A93,-1)),Settings!$B$5)))</f>
        <v/>
      </c>
      <c r="D93" s="8"/>
      <c r="E93" s="10" t="str">
        <f t="shared" si="5"/>
        <v/>
      </c>
      <c r="F93" s="10" t="str">
        <f>IF(A93="","",K92+Settings!$B$8)</f>
        <v/>
      </c>
      <c r="G93" s="11" t="str">
        <f t="shared" si="6"/>
        <v/>
      </c>
      <c r="H93" s="12" t="str">
        <f>IF(G93="","",G93/Settings!$B$8)</f>
        <v/>
      </c>
      <c r="I93" s="38" t="str">
        <f>IF(H93="","",H93*Settings!$B$11)</f>
        <v/>
      </c>
      <c r="J93" s="40" t="str">
        <f>IF(E93="","",IF(E93="W","Weekly Reset",IF(H93&gt;=1,"Very High Benefit; High Unused-Allowance Risk",IF(H93&gt;Settings!$B$17,"Highly Beneficial; Allowance May Be Underused",IF(H93&gt;=Settings!$B$17,"Highly Beneficial",IF(H93&gt;=0.4,"Moderate",IF(H93&gt;0,"Low Benefit","No Advance Benefit")))))))</f>
        <v/>
      </c>
      <c r="K93" s="10" t="str">
        <f t="shared" si="7"/>
        <v/>
      </c>
    </row>
    <row r="94" spans="1:11" ht="14.25" customHeight="1">
      <c r="A94" s="10" t="str">
        <f>IF(Settings!$B$4="","",IF(Settings!$B$4+ROW()-4&lt;EDATE(Settings!$B$4,12),Settings!$B$4+ROW()-4,""))</f>
        <v/>
      </c>
      <c r="B94" s="9" t="str">
        <f t="shared" si="4"/>
        <v/>
      </c>
      <c r="C94" s="10" t="str">
        <f>IF(A94="","",IF(DAY(A94)&gt;=Settings!$B$5,DATE(YEAR(A94),MONTH(A94),Settings!$B$5),DATE(YEAR(EDATE(A94,-1)),MONTH(EDATE(A94,-1)),Settings!$B$5)))</f>
        <v/>
      </c>
      <c r="D94" s="8"/>
      <c r="E94" s="10" t="str">
        <f t="shared" si="5"/>
        <v/>
      </c>
      <c r="F94" s="10" t="str">
        <f>IF(A94="","",K93+Settings!$B$8)</f>
        <v/>
      </c>
      <c r="G94" s="11" t="str">
        <f t="shared" si="6"/>
        <v/>
      </c>
      <c r="H94" s="12" t="str">
        <f>IF(G94="","",G94/Settings!$B$8)</f>
        <v/>
      </c>
      <c r="I94" s="38" t="str">
        <f>IF(H94="","",H94*Settings!$B$11)</f>
        <v/>
      </c>
      <c r="J94" s="40" t="str">
        <f>IF(E94="","",IF(E94="W","Weekly Reset",IF(H94&gt;=1,"Very High Benefit; High Unused-Allowance Risk",IF(H94&gt;Settings!$B$17,"Highly Beneficial; Allowance May Be Underused",IF(H94&gt;=Settings!$B$17,"Highly Beneficial",IF(H94&gt;=0.4,"Moderate",IF(H94&gt;0,"Low Benefit","No Advance Benefit")))))))</f>
        <v/>
      </c>
      <c r="K94" s="10" t="str">
        <f t="shared" si="7"/>
        <v/>
      </c>
    </row>
    <row r="95" spans="1:11" ht="14.25" customHeight="1">
      <c r="A95" s="10" t="str">
        <f>IF(Settings!$B$4="","",IF(Settings!$B$4+ROW()-4&lt;EDATE(Settings!$B$4,12),Settings!$B$4+ROW()-4,""))</f>
        <v/>
      </c>
      <c r="B95" s="9" t="str">
        <f t="shared" si="4"/>
        <v/>
      </c>
      <c r="C95" s="10" t="str">
        <f>IF(A95="","",IF(DAY(A95)&gt;=Settings!$B$5,DATE(YEAR(A95),MONTH(A95),Settings!$B$5),DATE(YEAR(EDATE(A95,-1)),MONTH(EDATE(A95,-1)),Settings!$B$5)))</f>
        <v/>
      </c>
      <c r="D95" s="8"/>
      <c r="E95" s="10" t="str">
        <f t="shared" si="5"/>
        <v/>
      </c>
      <c r="F95" s="10" t="str">
        <f>IF(A95="","",K94+Settings!$B$8)</f>
        <v/>
      </c>
      <c r="G95" s="11" t="str">
        <f t="shared" si="6"/>
        <v/>
      </c>
      <c r="H95" s="12" t="str">
        <f>IF(G95="","",G95/Settings!$B$8)</f>
        <v/>
      </c>
      <c r="I95" s="38" t="str">
        <f>IF(H95="","",H95*Settings!$B$11)</f>
        <v/>
      </c>
      <c r="J95" s="40" t="str">
        <f>IF(E95="","",IF(E95="W","Weekly Reset",IF(H95&gt;=1,"Very High Benefit; High Unused-Allowance Risk",IF(H95&gt;Settings!$B$17,"Highly Beneficial; Allowance May Be Underused",IF(H95&gt;=Settings!$B$17,"Highly Beneficial",IF(H95&gt;=0.4,"Moderate",IF(H95&gt;0,"Low Benefit","No Advance Benefit")))))))</f>
        <v/>
      </c>
      <c r="K95" s="10" t="str">
        <f t="shared" si="7"/>
        <v/>
      </c>
    </row>
    <row r="96" spans="1:11" ht="14.25" customHeight="1">
      <c r="A96" s="10" t="str">
        <f>IF(Settings!$B$4="","",IF(Settings!$B$4+ROW()-4&lt;EDATE(Settings!$B$4,12),Settings!$B$4+ROW()-4,""))</f>
        <v/>
      </c>
      <c r="B96" s="9" t="str">
        <f t="shared" si="4"/>
        <v/>
      </c>
      <c r="C96" s="10" t="str">
        <f>IF(A96="","",IF(DAY(A96)&gt;=Settings!$B$5,DATE(YEAR(A96),MONTH(A96),Settings!$B$5),DATE(YEAR(EDATE(A96,-1)),MONTH(EDATE(A96,-1)),Settings!$B$5)))</f>
        <v/>
      </c>
      <c r="D96" s="8"/>
      <c r="E96" s="10" t="str">
        <f t="shared" si="5"/>
        <v/>
      </c>
      <c r="F96" s="10" t="str">
        <f>IF(A96="","",K95+Settings!$B$8)</f>
        <v/>
      </c>
      <c r="G96" s="11" t="str">
        <f t="shared" si="6"/>
        <v/>
      </c>
      <c r="H96" s="12" t="str">
        <f>IF(G96="","",G96/Settings!$B$8)</f>
        <v/>
      </c>
      <c r="I96" s="38" t="str">
        <f>IF(H96="","",H96*Settings!$B$11)</f>
        <v/>
      </c>
      <c r="J96" s="40" t="str">
        <f>IF(E96="","",IF(E96="W","Weekly Reset",IF(H96&gt;=1,"Very High Benefit; High Unused-Allowance Risk",IF(H96&gt;Settings!$B$17,"Highly Beneficial; Allowance May Be Underused",IF(H96&gt;=Settings!$B$17,"Highly Beneficial",IF(H96&gt;=0.4,"Moderate",IF(H96&gt;0,"Low Benefit","No Advance Benefit")))))))</f>
        <v/>
      </c>
      <c r="K96" s="10" t="str">
        <f t="shared" si="7"/>
        <v/>
      </c>
    </row>
    <row r="97" spans="1:11" ht="14.25" customHeight="1">
      <c r="A97" s="10" t="str">
        <f>IF(Settings!$B$4="","",IF(Settings!$B$4+ROW()-4&lt;EDATE(Settings!$B$4,12),Settings!$B$4+ROW()-4,""))</f>
        <v/>
      </c>
      <c r="B97" s="9" t="str">
        <f t="shared" si="4"/>
        <v/>
      </c>
      <c r="C97" s="10" t="str">
        <f>IF(A97="","",IF(DAY(A97)&gt;=Settings!$B$5,DATE(YEAR(A97),MONTH(A97),Settings!$B$5),DATE(YEAR(EDATE(A97,-1)),MONTH(EDATE(A97,-1)),Settings!$B$5)))</f>
        <v/>
      </c>
      <c r="D97" s="8"/>
      <c r="E97" s="10" t="str">
        <f t="shared" si="5"/>
        <v/>
      </c>
      <c r="F97" s="10" t="str">
        <f>IF(A97="","",K96+Settings!$B$8)</f>
        <v/>
      </c>
      <c r="G97" s="11" t="str">
        <f t="shared" si="6"/>
        <v/>
      </c>
      <c r="H97" s="12" t="str">
        <f>IF(G97="","",G97/Settings!$B$8)</f>
        <v/>
      </c>
      <c r="I97" s="38" t="str">
        <f>IF(H97="","",H97*Settings!$B$11)</f>
        <v/>
      </c>
      <c r="J97" s="40" t="str">
        <f>IF(E97="","",IF(E97="W","Weekly Reset",IF(H97&gt;=1,"Very High Benefit; High Unused-Allowance Risk",IF(H97&gt;Settings!$B$17,"Highly Beneficial; Allowance May Be Underused",IF(H97&gt;=Settings!$B$17,"Highly Beneficial",IF(H97&gt;=0.4,"Moderate",IF(H97&gt;0,"Low Benefit","No Advance Benefit")))))))</f>
        <v/>
      </c>
      <c r="K97" s="10" t="str">
        <f t="shared" si="7"/>
        <v/>
      </c>
    </row>
    <row r="98" spans="1:11" ht="14.25" customHeight="1">
      <c r="A98" s="10" t="str">
        <f>IF(Settings!$B$4="","",IF(Settings!$B$4+ROW()-4&lt;EDATE(Settings!$B$4,12),Settings!$B$4+ROW()-4,""))</f>
        <v/>
      </c>
      <c r="B98" s="9" t="str">
        <f t="shared" si="4"/>
        <v/>
      </c>
      <c r="C98" s="10" t="str">
        <f>IF(A98="","",IF(DAY(A98)&gt;=Settings!$B$5,DATE(YEAR(A98),MONTH(A98),Settings!$B$5),DATE(YEAR(EDATE(A98,-1)),MONTH(EDATE(A98,-1)),Settings!$B$5)))</f>
        <v/>
      </c>
      <c r="D98" s="8"/>
      <c r="E98" s="10" t="str">
        <f t="shared" si="5"/>
        <v/>
      </c>
      <c r="F98" s="10" t="str">
        <f>IF(A98="","",K97+Settings!$B$8)</f>
        <v/>
      </c>
      <c r="G98" s="11" t="str">
        <f t="shared" si="6"/>
        <v/>
      </c>
      <c r="H98" s="12" t="str">
        <f>IF(G98="","",G98/Settings!$B$8)</f>
        <v/>
      </c>
      <c r="I98" s="38" t="str">
        <f>IF(H98="","",H98*Settings!$B$11)</f>
        <v/>
      </c>
      <c r="J98" s="40" t="str">
        <f>IF(E98="","",IF(E98="W","Weekly Reset",IF(H98&gt;=1,"Very High Benefit; High Unused-Allowance Risk",IF(H98&gt;Settings!$B$17,"Highly Beneficial; Allowance May Be Underused",IF(H98&gt;=Settings!$B$17,"Highly Beneficial",IF(H98&gt;=0.4,"Moderate",IF(H98&gt;0,"Low Benefit","No Advance Benefit")))))))</f>
        <v/>
      </c>
      <c r="K98" s="10" t="str">
        <f t="shared" si="7"/>
        <v/>
      </c>
    </row>
    <row r="99" spans="1:11" ht="14.25" customHeight="1">
      <c r="A99" s="10" t="str">
        <f>IF(Settings!$B$4="","",IF(Settings!$B$4+ROW()-4&lt;EDATE(Settings!$B$4,12),Settings!$B$4+ROW()-4,""))</f>
        <v/>
      </c>
      <c r="B99" s="9" t="str">
        <f t="shared" si="4"/>
        <v/>
      </c>
      <c r="C99" s="10" t="str">
        <f>IF(A99="","",IF(DAY(A99)&gt;=Settings!$B$5,DATE(YEAR(A99),MONTH(A99),Settings!$B$5),DATE(YEAR(EDATE(A99,-1)),MONTH(EDATE(A99,-1)),Settings!$B$5)))</f>
        <v/>
      </c>
      <c r="D99" s="8"/>
      <c r="E99" s="10" t="str">
        <f t="shared" si="5"/>
        <v/>
      </c>
      <c r="F99" s="10" t="str">
        <f>IF(A99="","",K98+Settings!$B$8)</f>
        <v/>
      </c>
      <c r="G99" s="11" t="str">
        <f t="shared" si="6"/>
        <v/>
      </c>
      <c r="H99" s="12" t="str">
        <f>IF(G99="","",G99/Settings!$B$8)</f>
        <v/>
      </c>
      <c r="I99" s="38" t="str">
        <f>IF(H99="","",H99*Settings!$B$11)</f>
        <v/>
      </c>
      <c r="J99" s="40" t="str">
        <f>IF(E99="","",IF(E99="W","Weekly Reset",IF(H99&gt;=1,"Very High Benefit; High Unused-Allowance Risk",IF(H99&gt;Settings!$B$17,"Highly Beneficial; Allowance May Be Underused",IF(H99&gt;=Settings!$B$17,"Highly Beneficial",IF(H99&gt;=0.4,"Moderate",IF(H99&gt;0,"Low Benefit","No Advance Benefit")))))))</f>
        <v/>
      </c>
      <c r="K99" s="10" t="str">
        <f t="shared" si="7"/>
        <v/>
      </c>
    </row>
    <row r="100" spans="1:11" ht="14.25" customHeight="1">
      <c r="A100" s="10" t="str">
        <f>IF(Settings!$B$4="","",IF(Settings!$B$4+ROW()-4&lt;EDATE(Settings!$B$4,12),Settings!$B$4+ROW()-4,""))</f>
        <v/>
      </c>
      <c r="B100" s="9" t="str">
        <f t="shared" si="4"/>
        <v/>
      </c>
      <c r="C100" s="10" t="str">
        <f>IF(A100="","",IF(DAY(A100)&gt;=Settings!$B$5,DATE(YEAR(A100),MONTH(A100),Settings!$B$5),DATE(YEAR(EDATE(A100,-1)),MONTH(EDATE(A100,-1)),Settings!$B$5)))</f>
        <v/>
      </c>
      <c r="D100" s="8"/>
      <c r="E100" s="10" t="str">
        <f t="shared" si="5"/>
        <v/>
      </c>
      <c r="F100" s="10" t="str">
        <f>IF(A100="","",K99+Settings!$B$8)</f>
        <v/>
      </c>
      <c r="G100" s="11" t="str">
        <f t="shared" si="6"/>
        <v/>
      </c>
      <c r="H100" s="12" t="str">
        <f>IF(G100="","",G100/Settings!$B$8)</f>
        <v/>
      </c>
      <c r="I100" s="38" t="str">
        <f>IF(H100="","",H100*Settings!$B$11)</f>
        <v/>
      </c>
      <c r="J100" s="40" t="str">
        <f>IF(E100="","",IF(E100="W","Weekly Reset",IF(H100&gt;=1,"Very High Benefit; High Unused-Allowance Risk",IF(H100&gt;Settings!$B$17,"Highly Beneficial; Allowance May Be Underused",IF(H100&gt;=Settings!$B$17,"Highly Beneficial",IF(H100&gt;=0.4,"Moderate",IF(H100&gt;0,"Low Benefit","No Advance Benefit")))))))</f>
        <v/>
      </c>
      <c r="K100" s="10" t="str">
        <f t="shared" si="7"/>
        <v/>
      </c>
    </row>
    <row r="101" spans="1:11" ht="14.25" customHeight="1">
      <c r="A101" s="10" t="str">
        <f>IF(Settings!$B$4="","",IF(Settings!$B$4+ROW()-4&lt;EDATE(Settings!$B$4,12),Settings!$B$4+ROW()-4,""))</f>
        <v/>
      </c>
      <c r="B101" s="9" t="str">
        <f t="shared" si="4"/>
        <v/>
      </c>
      <c r="C101" s="10" t="str">
        <f>IF(A101="","",IF(DAY(A101)&gt;=Settings!$B$5,DATE(YEAR(A101),MONTH(A101),Settings!$B$5),DATE(YEAR(EDATE(A101,-1)),MONTH(EDATE(A101,-1)),Settings!$B$5)))</f>
        <v/>
      </c>
      <c r="D101" s="8"/>
      <c r="E101" s="10" t="str">
        <f t="shared" si="5"/>
        <v/>
      </c>
      <c r="F101" s="10" t="str">
        <f>IF(A101="","",K100+Settings!$B$8)</f>
        <v/>
      </c>
      <c r="G101" s="11" t="str">
        <f t="shared" si="6"/>
        <v/>
      </c>
      <c r="H101" s="12" t="str">
        <f>IF(G101="","",G101/Settings!$B$8)</f>
        <v/>
      </c>
      <c r="I101" s="38" t="str">
        <f>IF(H101="","",H101*Settings!$B$11)</f>
        <v/>
      </c>
      <c r="J101" s="40" t="str">
        <f>IF(E101="","",IF(E101="W","Weekly Reset",IF(H101&gt;=1,"Very High Benefit; High Unused-Allowance Risk",IF(H101&gt;Settings!$B$17,"Highly Beneficial; Allowance May Be Underused",IF(H101&gt;=Settings!$B$17,"Highly Beneficial",IF(H101&gt;=0.4,"Moderate",IF(H101&gt;0,"Low Benefit","No Advance Benefit")))))))</f>
        <v/>
      </c>
      <c r="K101" s="10" t="str">
        <f t="shared" si="7"/>
        <v/>
      </c>
    </row>
    <row r="102" spans="1:11" ht="14.25" customHeight="1">
      <c r="A102" s="10" t="str">
        <f>IF(Settings!$B$4="","",IF(Settings!$B$4+ROW()-4&lt;EDATE(Settings!$B$4,12),Settings!$B$4+ROW()-4,""))</f>
        <v/>
      </c>
      <c r="B102" s="9" t="str">
        <f t="shared" si="4"/>
        <v/>
      </c>
      <c r="C102" s="10" t="str">
        <f>IF(A102="","",IF(DAY(A102)&gt;=Settings!$B$5,DATE(YEAR(A102),MONTH(A102),Settings!$B$5),DATE(YEAR(EDATE(A102,-1)),MONTH(EDATE(A102,-1)),Settings!$B$5)))</f>
        <v/>
      </c>
      <c r="D102" s="8"/>
      <c r="E102" s="10" t="str">
        <f t="shared" si="5"/>
        <v/>
      </c>
      <c r="F102" s="10" t="str">
        <f>IF(A102="","",K101+Settings!$B$8)</f>
        <v/>
      </c>
      <c r="G102" s="11" t="str">
        <f t="shared" si="6"/>
        <v/>
      </c>
      <c r="H102" s="12" t="str">
        <f>IF(G102="","",G102/Settings!$B$8)</f>
        <v/>
      </c>
      <c r="I102" s="38" t="str">
        <f>IF(H102="","",H102*Settings!$B$11)</f>
        <v/>
      </c>
      <c r="J102" s="40" t="str">
        <f>IF(E102="","",IF(E102="W","Weekly Reset",IF(H102&gt;=1,"Very High Benefit; High Unused-Allowance Risk",IF(H102&gt;Settings!$B$17,"Highly Beneficial; Allowance May Be Underused",IF(H102&gt;=Settings!$B$17,"Highly Beneficial",IF(H102&gt;=0.4,"Moderate",IF(H102&gt;0,"Low Benefit","No Advance Benefit")))))))</f>
        <v/>
      </c>
      <c r="K102" s="10" t="str">
        <f t="shared" si="7"/>
        <v/>
      </c>
    </row>
    <row r="103" spans="1:11" ht="14.25" customHeight="1">
      <c r="A103" s="10" t="str">
        <f>IF(Settings!$B$4="","",IF(Settings!$B$4+ROW()-4&lt;EDATE(Settings!$B$4,12),Settings!$B$4+ROW()-4,""))</f>
        <v/>
      </c>
      <c r="B103" s="9" t="str">
        <f t="shared" si="4"/>
        <v/>
      </c>
      <c r="C103" s="10" t="str">
        <f>IF(A103="","",IF(DAY(A103)&gt;=Settings!$B$5,DATE(YEAR(A103),MONTH(A103),Settings!$B$5),DATE(YEAR(EDATE(A103,-1)),MONTH(EDATE(A103,-1)),Settings!$B$5)))</f>
        <v/>
      </c>
      <c r="D103" s="8"/>
      <c r="E103" s="10" t="str">
        <f t="shared" si="5"/>
        <v/>
      </c>
      <c r="F103" s="10" t="str">
        <f>IF(A103="","",K102+Settings!$B$8)</f>
        <v/>
      </c>
      <c r="G103" s="11" t="str">
        <f t="shared" si="6"/>
        <v/>
      </c>
      <c r="H103" s="12" t="str">
        <f>IF(G103="","",G103/Settings!$B$8)</f>
        <v/>
      </c>
      <c r="I103" s="38" t="str">
        <f>IF(H103="","",H103*Settings!$B$11)</f>
        <v/>
      </c>
      <c r="J103" s="40" t="str">
        <f>IF(E103="","",IF(E103="W","Weekly Reset",IF(H103&gt;=1,"Very High Benefit; High Unused-Allowance Risk",IF(H103&gt;Settings!$B$17,"Highly Beneficial; Allowance May Be Underused",IF(H103&gt;=Settings!$B$17,"Highly Beneficial",IF(H103&gt;=0.4,"Moderate",IF(H103&gt;0,"Low Benefit","No Advance Benefit")))))))</f>
        <v/>
      </c>
      <c r="K103" s="10" t="str">
        <f t="shared" si="7"/>
        <v/>
      </c>
    </row>
    <row r="104" spans="1:11" ht="14.25" customHeight="1">
      <c r="A104" s="10" t="str">
        <f>IF(Settings!$B$4="","",IF(Settings!$B$4+ROW()-4&lt;EDATE(Settings!$B$4,12),Settings!$B$4+ROW()-4,""))</f>
        <v/>
      </c>
      <c r="B104" s="9" t="str">
        <f t="shared" si="4"/>
        <v/>
      </c>
      <c r="C104" s="10" t="str">
        <f>IF(A104="","",IF(DAY(A104)&gt;=Settings!$B$5,DATE(YEAR(A104),MONTH(A104),Settings!$B$5),DATE(YEAR(EDATE(A104,-1)),MONTH(EDATE(A104,-1)),Settings!$B$5)))</f>
        <v/>
      </c>
      <c r="D104" s="8"/>
      <c r="E104" s="10" t="str">
        <f t="shared" si="5"/>
        <v/>
      </c>
      <c r="F104" s="10" t="str">
        <f>IF(A104="","",K103+Settings!$B$8)</f>
        <v/>
      </c>
      <c r="G104" s="11" t="str">
        <f t="shared" si="6"/>
        <v/>
      </c>
      <c r="H104" s="12" t="str">
        <f>IF(G104="","",G104/Settings!$B$8)</f>
        <v/>
      </c>
      <c r="I104" s="38" t="str">
        <f>IF(H104="","",H104*Settings!$B$11)</f>
        <v/>
      </c>
      <c r="J104" s="40" t="str">
        <f>IF(E104="","",IF(E104="W","Weekly Reset",IF(H104&gt;=1,"Very High Benefit; High Unused-Allowance Risk",IF(H104&gt;Settings!$B$17,"Highly Beneficial; Allowance May Be Underused",IF(H104&gt;=Settings!$B$17,"Highly Beneficial",IF(H104&gt;=0.4,"Moderate",IF(H104&gt;0,"Low Benefit","No Advance Benefit")))))))</f>
        <v/>
      </c>
      <c r="K104" s="10" t="str">
        <f t="shared" si="7"/>
        <v/>
      </c>
    </row>
    <row r="105" spans="1:11" ht="14.25" customHeight="1">
      <c r="A105" s="10" t="str">
        <f>IF(Settings!$B$4="","",IF(Settings!$B$4+ROW()-4&lt;EDATE(Settings!$B$4,12),Settings!$B$4+ROW()-4,""))</f>
        <v/>
      </c>
      <c r="B105" s="9" t="str">
        <f t="shared" si="4"/>
        <v/>
      </c>
      <c r="C105" s="10" t="str">
        <f>IF(A105="","",IF(DAY(A105)&gt;=Settings!$B$5,DATE(YEAR(A105),MONTH(A105),Settings!$B$5),DATE(YEAR(EDATE(A105,-1)),MONTH(EDATE(A105,-1)),Settings!$B$5)))</f>
        <v/>
      </c>
      <c r="D105" s="8"/>
      <c r="E105" s="10" t="str">
        <f t="shared" si="5"/>
        <v/>
      </c>
      <c r="F105" s="10" t="str">
        <f>IF(A105="","",K104+Settings!$B$8)</f>
        <v/>
      </c>
      <c r="G105" s="11" t="str">
        <f t="shared" si="6"/>
        <v/>
      </c>
      <c r="H105" s="12" t="str">
        <f>IF(G105="","",G105/Settings!$B$8)</f>
        <v/>
      </c>
      <c r="I105" s="38" t="str">
        <f>IF(H105="","",H105*Settings!$B$11)</f>
        <v/>
      </c>
      <c r="J105" s="40" t="str">
        <f>IF(E105="","",IF(E105="W","Weekly Reset",IF(H105&gt;=1,"Very High Benefit; High Unused-Allowance Risk",IF(H105&gt;Settings!$B$17,"Highly Beneficial; Allowance May Be Underused",IF(H105&gt;=Settings!$B$17,"Highly Beneficial",IF(H105&gt;=0.4,"Moderate",IF(H105&gt;0,"Low Benefit","No Advance Benefit")))))))</f>
        <v/>
      </c>
      <c r="K105" s="10" t="str">
        <f t="shared" si="7"/>
        <v/>
      </c>
    </row>
    <row r="106" spans="1:11" ht="14.25" customHeight="1">
      <c r="A106" s="10" t="str">
        <f>IF(Settings!$B$4="","",IF(Settings!$B$4+ROW()-4&lt;EDATE(Settings!$B$4,12),Settings!$B$4+ROW()-4,""))</f>
        <v/>
      </c>
      <c r="B106" s="9" t="str">
        <f t="shared" si="4"/>
        <v/>
      </c>
      <c r="C106" s="10" t="str">
        <f>IF(A106="","",IF(DAY(A106)&gt;=Settings!$B$5,DATE(YEAR(A106),MONTH(A106),Settings!$B$5),DATE(YEAR(EDATE(A106,-1)),MONTH(EDATE(A106,-1)),Settings!$B$5)))</f>
        <v/>
      </c>
      <c r="D106" s="8"/>
      <c r="E106" s="10" t="str">
        <f t="shared" si="5"/>
        <v/>
      </c>
      <c r="F106" s="10" t="str">
        <f>IF(A106="","",K105+Settings!$B$8)</f>
        <v/>
      </c>
      <c r="G106" s="11" t="str">
        <f t="shared" si="6"/>
        <v/>
      </c>
      <c r="H106" s="12" t="str">
        <f>IF(G106="","",G106/Settings!$B$8)</f>
        <v/>
      </c>
      <c r="I106" s="38" t="str">
        <f>IF(H106="","",H106*Settings!$B$11)</f>
        <v/>
      </c>
      <c r="J106" s="40" t="str">
        <f>IF(E106="","",IF(E106="W","Weekly Reset",IF(H106&gt;=1,"Very High Benefit; High Unused-Allowance Risk",IF(H106&gt;Settings!$B$17,"Highly Beneficial; Allowance May Be Underused",IF(H106&gt;=Settings!$B$17,"Highly Beneficial",IF(H106&gt;=0.4,"Moderate",IF(H106&gt;0,"Low Benefit","No Advance Benefit")))))))</f>
        <v/>
      </c>
      <c r="K106" s="10" t="str">
        <f t="shared" si="7"/>
        <v/>
      </c>
    </row>
    <row r="107" spans="1:11" ht="14.25" customHeight="1">
      <c r="A107" s="10" t="str">
        <f>IF(Settings!$B$4="","",IF(Settings!$B$4+ROW()-4&lt;EDATE(Settings!$B$4,12),Settings!$B$4+ROW()-4,""))</f>
        <v/>
      </c>
      <c r="B107" s="9" t="str">
        <f t="shared" si="4"/>
        <v/>
      </c>
      <c r="C107" s="10" t="str">
        <f>IF(A107="","",IF(DAY(A107)&gt;=Settings!$B$5,DATE(YEAR(A107),MONTH(A107),Settings!$B$5),DATE(YEAR(EDATE(A107,-1)),MONTH(EDATE(A107,-1)),Settings!$B$5)))</f>
        <v/>
      </c>
      <c r="D107" s="8"/>
      <c r="E107" s="10" t="str">
        <f t="shared" si="5"/>
        <v/>
      </c>
      <c r="F107" s="10" t="str">
        <f>IF(A107="","",K106+Settings!$B$8)</f>
        <v/>
      </c>
      <c r="G107" s="11" t="str">
        <f t="shared" si="6"/>
        <v/>
      </c>
      <c r="H107" s="12" t="str">
        <f>IF(G107="","",G107/Settings!$B$8)</f>
        <v/>
      </c>
      <c r="I107" s="38" t="str">
        <f>IF(H107="","",H107*Settings!$B$11)</f>
        <v/>
      </c>
      <c r="J107" s="40" t="str">
        <f>IF(E107="","",IF(E107="W","Weekly Reset",IF(H107&gt;=1,"Very High Benefit; High Unused-Allowance Risk",IF(H107&gt;Settings!$B$17,"Highly Beneficial; Allowance May Be Underused",IF(H107&gt;=Settings!$B$17,"Highly Beneficial",IF(H107&gt;=0.4,"Moderate",IF(H107&gt;0,"Low Benefit","No Advance Benefit")))))))</f>
        <v/>
      </c>
      <c r="K107" s="10" t="str">
        <f t="shared" si="7"/>
        <v/>
      </c>
    </row>
    <row r="108" spans="1:11" ht="14.25" customHeight="1">
      <c r="A108" s="10" t="str">
        <f>IF(Settings!$B$4="","",IF(Settings!$B$4+ROW()-4&lt;EDATE(Settings!$B$4,12),Settings!$B$4+ROW()-4,""))</f>
        <v/>
      </c>
      <c r="B108" s="9" t="str">
        <f t="shared" si="4"/>
        <v/>
      </c>
      <c r="C108" s="10" t="str">
        <f>IF(A108="","",IF(DAY(A108)&gt;=Settings!$B$5,DATE(YEAR(A108),MONTH(A108),Settings!$B$5),DATE(YEAR(EDATE(A108,-1)),MONTH(EDATE(A108,-1)),Settings!$B$5)))</f>
        <v/>
      </c>
      <c r="D108" s="8"/>
      <c r="E108" s="10" t="str">
        <f t="shared" si="5"/>
        <v/>
      </c>
      <c r="F108" s="10" t="str">
        <f>IF(A108="","",K107+Settings!$B$8)</f>
        <v/>
      </c>
      <c r="G108" s="11" t="str">
        <f t="shared" si="6"/>
        <v/>
      </c>
      <c r="H108" s="12" t="str">
        <f>IF(G108="","",G108/Settings!$B$8)</f>
        <v/>
      </c>
      <c r="I108" s="38" t="str">
        <f>IF(H108="","",H108*Settings!$B$11)</f>
        <v/>
      </c>
      <c r="J108" s="40" t="str">
        <f>IF(E108="","",IF(E108="W","Weekly Reset",IF(H108&gt;=1,"Very High Benefit; High Unused-Allowance Risk",IF(H108&gt;Settings!$B$17,"Highly Beneficial; Allowance May Be Underused",IF(H108&gt;=Settings!$B$17,"Highly Beneficial",IF(H108&gt;=0.4,"Moderate",IF(H108&gt;0,"Low Benefit","No Advance Benefit")))))))</f>
        <v/>
      </c>
      <c r="K108" s="10" t="str">
        <f t="shared" si="7"/>
        <v/>
      </c>
    </row>
    <row r="109" spans="1:11" ht="14.25" customHeight="1">
      <c r="A109" s="10" t="str">
        <f>IF(Settings!$B$4="","",IF(Settings!$B$4+ROW()-4&lt;EDATE(Settings!$B$4,12),Settings!$B$4+ROW()-4,""))</f>
        <v/>
      </c>
      <c r="B109" s="9" t="str">
        <f t="shared" si="4"/>
        <v/>
      </c>
      <c r="C109" s="10" t="str">
        <f>IF(A109="","",IF(DAY(A109)&gt;=Settings!$B$5,DATE(YEAR(A109),MONTH(A109),Settings!$B$5),DATE(YEAR(EDATE(A109,-1)),MONTH(EDATE(A109,-1)),Settings!$B$5)))</f>
        <v/>
      </c>
      <c r="D109" s="8"/>
      <c r="E109" s="10" t="str">
        <f t="shared" si="5"/>
        <v/>
      </c>
      <c r="F109" s="10" t="str">
        <f>IF(A109="","",K108+Settings!$B$8)</f>
        <v/>
      </c>
      <c r="G109" s="11" t="str">
        <f t="shared" si="6"/>
        <v/>
      </c>
      <c r="H109" s="12" t="str">
        <f>IF(G109="","",G109/Settings!$B$8)</f>
        <v/>
      </c>
      <c r="I109" s="38" t="str">
        <f>IF(H109="","",H109*Settings!$B$11)</f>
        <v/>
      </c>
      <c r="J109" s="40" t="str">
        <f>IF(E109="","",IF(E109="W","Weekly Reset",IF(H109&gt;=1,"Very High Benefit; High Unused-Allowance Risk",IF(H109&gt;Settings!$B$17,"Highly Beneficial; Allowance May Be Underused",IF(H109&gt;=Settings!$B$17,"Highly Beneficial",IF(H109&gt;=0.4,"Moderate",IF(H109&gt;0,"Low Benefit","No Advance Benefit")))))))</f>
        <v/>
      </c>
      <c r="K109" s="10" t="str">
        <f t="shared" si="7"/>
        <v/>
      </c>
    </row>
    <row r="110" spans="1:11" ht="14.25" customHeight="1">
      <c r="A110" s="10" t="str">
        <f>IF(Settings!$B$4="","",IF(Settings!$B$4+ROW()-4&lt;EDATE(Settings!$B$4,12),Settings!$B$4+ROW()-4,""))</f>
        <v/>
      </c>
      <c r="B110" s="9" t="str">
        <f t="shared" si="4"/>
        <v/>
      </c>
      <c r="C110" s="10" t="str">
        <f>IF(A110="","",IF(DAY(A110)&gt;=Settings!$B$5,DATE(YEAR(A110),MONTH(A110),Settings!$B$5),DATE(YEAR(EDATE(A110,-1)),MONTH(EDATE(A110,-1)),Settings!$B$5)))</f>
        <v/>
      </c>
      <c r="D110" s="8"/>
      <c r="E110" s="10" t="str">
        <f t="shared" si="5"/>
        <v/>
      </c>
      <c r="F110" s="10" t="str">
        <f>IF(A110="","",K109+Settings!$B$8)</f>
        <v/>
      </c>
      <c r="G110" s="11" t="str">
        <f t="shared" si="6"/>
        <v/>
      </c>
      <c r="H110" s="12" t="str">
        <f>IF(G110="","",G110/Settings!$B$8)</f>
        <v/>
      </c>
      <c r="I110" s="38" t="str">
        <f>IF(H110="","",H110*Settings!$B$11)</f>
        <v/>
      </c>
      <c r="J110" s="40" t="str">
        <f>IF(E110="","",IF(E110="W","Weekly Reset",IF(H110&gt;=1,"Very High Benefit; High Unused-Allowance Risk",IF(H110&gt;Settings!$B$17,"Highly Beneficial; Allowance May Be Underused",IF(H110&gt;=Settings!$B$17,"Highly Beneficial",IF(H110&gt;=0.4,"Moderate",IF(H110&gt;0,"Low Benefit","No Advance Benefit")))))))</f>
        <v/>
      </c>
      <c r="K110" s="10" t="str">
        <f t="shared" si="7"/>
        <v/>
      </c>
    </row>
    <row r="111" spans="1:11" ht="14.25" customHeight="1">
      <c r="A111" s="10" t="str">
        <f>IF(Settings!$B$4="","",IF(Settings!$B$4+ROW()-4&lt;EDATE(Settings!$B$4,12),Settings!$B$4+ROW()-4,""))</f>
        <v/>
      </c>
      <c r="B111" s="9" t="str">
        <f t="shared" si="4"/>
        <v/>
      </c>
      <c r="C111" s="10" t="str">
        <f>IF(A111="","",IF(DAY(A111)&gt;=Settings!$B$5,DATE(YEAR(A111),MONTH(A111),Settings!$B$5),DATE(YEAR(EDATE(A111,-1)),MONTH(EDATE(A111,-1)),Settings!$B$5)))</f>
        <v/>
      </c>
      <c r="D111" s="8"/>
      <c r="E111" s="10" t="str">
        <f t="shared" si="5"/>
        <v/>
      </c>
      <c r="F111" s="10" t="str">
        <f>IF(A111="","",K110+Settings!$B$8)</f>
        <v/>
      </c>
      <c r="G111" s="11" t="str">
        <f t="shared" si="6"/>
        <v/>
      </c>
      <c r="H111" s="12" t="str">
        <f>IF(G111="","",G111/Settings!$B$8)</f>
        <v/>
      </c>
      <c r="I111" s="38" t="str">
        <f>IF(H111="","",H111*Settings!$B$11)</f>
        <v/>
      </c>
      <c r="J111" s="40" t="str">
        <f>IF(E111="","",IF(E111="W","Weekly Reset",IF(H111&gt;=1,"Very High Benefit; High Unused-Allowance Risk",IF(H111&gt;Settings!$B$17,"Highly Beneficial; Allowance May Be Underused",IF(H111&gt;=Settings!$B$17,"Highly Beneficial",IF(H111&gt;=0.4,"Moderate",IF(H111&gt;0,"Low Benefit","No Advance Benefit")))))))</f>
        <v/>
      </c>
      <c r="K111" s="10" t="str">
        <f t="shared" si="7"/>
        <v/>
      </c>
    </row>
    <row r="112" spans="1:11" ht="14.25" customHeight="1">
      <c r="A112" s="10" t="str">
        <f>IF(Settings!$B$4="","",IF(Settings!$B$4+ROW()-4&lt;EDATE(Settings!$B$4,12),Settings!$B$4+ROW()-4,""))</f>
        <v/>
      </c>
      <c r="B112" s="9" t="str">
        <f t="shared" si="4"/>
        <v/>
      </c>
      <c r="C112" s="10" t="str">
        <f>IF(A112="","",IF(DAY(A112)&gt;=Settings!$B$5,DATE(YEAR(A112),MONTH(A112),Settings!$B$5),DATE(YEAR(EDATE(A112,-1)),MONTH(EDATE(A112,-1)),Settings!$B$5)))</f>
        <v/>
      </c>
      <c r="D112" s="8"/>
      <c r="E112" s="10" t="str">
        <f t="shared" si="5"/>
        <v/>
      </c>
      <c r="F112" s="10" t="str">
        <f>IF(A112="","",K111+Settings!$B$8)</f>
        <v/>
      </c>
      <c r="G112" s="11" t="str">
        <f t="shared" si="6"/>
        <v/>
      </c>
      <c r="H112" s="12" t="str">
        <f>IF(G112="","",G112/Settings!$B$8)</f>
        <v/>
      </c>
      <c r="I112" s="38" t="str">
        <f>IF(H112="","",H112*Settings!$B$11)</f>
        <v/>
      </c>
      <c r="J112" s="40" t="str">
        <f>IF(E112="","",IF(E112="W","Weekly Reset",IF(H112&gt;=1,"Very High Benefit; High Unused-Allowance Risk",IF(H112&gt;Settings!$B$17,"Highly Beneficial; Allowance May Be Underused",IF(H112&gt;=Settings!$B$17,"Highly Beneficial",IF(H112&gt;=0.4,"Moderate",IF(H112&gt;0,"Low Benefit","No Advance Benefit")))))))</f>
        <v/>
      </c>
      <c r="K112" s="10" t="str">
        <f t="shared" si="7"/>
        <v/>
      </c>
    </row>
    <row r="113" spans="1:11" ht="14.25" customHeight="1">
      <c r="A113" s="10" t="str">
        <f>IF(Settings!$B$4="","",IF(Settings!$B$4+ROW()-4&lt;EDATE(Settings!$B$4,12),Settings!$B$4+ROW()-4,""))</f>
        <v/>
      </c>
      <c r="B113" s="9" t="str">
        <f t="shared" si="4"/>
        <v/>
      </c>
      <c r="C113" s="10" t="str">
        <f>IF(A113="","",IF(DAY(A113)&gt;=Settings!$B$5,DATE(YEAR(A113),MONTH(A113),Settings!$B$5),DATE(YEAR(EDATE(A113,-1)),MONTH(EDATE(A113,-1)),Settings!$B$5)))</f>
        <v/>
      </c>
      <c r="D113" s="8"/>
      <c r="E113" s="10" t="str">
        <f t="shared" si="5"/>
        <v/>
      </c>
      <c r="F113" s="10" t="str">
        <f>IF(A113="","",K112+Settings!$B$8)</f>
        <v/>
      </c>
      <c r="G113" s="11" t="str">
        <f t="shared" si="6"/>
        <v/>
      </c>
      <c r="H113" s="12" t="str">
        <f>IF(G113="","",G113/Settings!$B$8)</f>
        <v/>
      </c>
      <c r="I113" s="38" t="str">
        <f>IF(H113="","",H113*Settings!$B$11)</f>
        <v/>
      </c>
      <c r="J113" s="40" t="str">
        <f>IF(E113="","",IF(E113="W","Weekly Reset",IF(H113&gt;=1,"Very High Benefit; High Unused-Allowance Risk",IF(H113&gt;Settings!$B$17,"Highly Beneficial; Allowance May Be Underused",IF(H113&gt;=Settings!$B$17,"Highly Beneficial",IF(H113&gt;=0.4,"Moderate",IF(H113&gt;0,"Low Benefit","No Advance Benefit")))))))</f>
        <v/>
      </c>
      <c r="K113" s="10" t="str">
        <f t="shared" si="7"/>
        <v/>
      </c>
    </row>
    <row r="114" spans="1:11" ht="14.25" customHeight="1">
      <c r="A114" s="10" t="str">
        <f>IF(Settings!$B$4="","",IF(Settings!$B$4+ROW()-4&lt;EDATE(Settings!$B$4,12),Settings!$B$4+ROW()-4,""))</f>
        <v/>
      </c>
      <c r="B114" s="9" t="str">
        <f t="shared" si="4"/>
        <v/>
      </c>
      <c r="C114" s="10" t="str">
        <f>IF(A114="","",IF(DAY(A114)&gt;=Settings!$B$5,DATE(YEAR(A114),MONTH(A114),Settings!$B$5),DATE(YEAR(EDATE(A114,-1)),MONTH(EDATE(A114,-1)),Settings!$B$5)))</f>
        <v/>
      </c>
      <c r="D114" s="8"/>
      <c r="E114" s="10" t="str">
        <f t="shared" si="5"/>
        <v/>
      </c>
      <c r="F114" s="10" t="str">
        <f>IF(A114="","",K113+Settings!$B$8)</f>
        <v/>
      </c>
      <c r="G114" s="11" t="str">
        <f t="shared" si="6"/>
        <v/>
      </c>
      <c r="H114" s="12" t="str">
        <f>IF(G114="","",G114/Settings!$B$8)</f>
        <v/>
      </c>
      <c r="I114" s="38" t="str">
        <f>IF(H114="","",H114*Settings!$B$11)</f>
        <v/>
      </c>
      <c r="J114" s="40" t="str">
        <f>IF(E114="","",IF(E114="W","Weekly Reset",IF(H114&gt;=1,"Very High Benefit; High Unused-Allowance Risk",IF(H114&gt;Settings!$B$17,"Highly Beneficial; Allowance May Be Underused",IF(H114&gt;=Settings!$B$17,"Highly Beneficial",IF(H114&gt;=0.4,"Moderate",IF(H114&gt;0,"Low Benefit","No Advance Benefit")))))))</f>
        <v/>
      </c>
      <c r="K114" s="10" t="str">
        <f t="shared" si="7"/>
        <v/>
      </c>
    </row>
    <row r="115" spans="1:11" ht="14.25" customHeight="1">
      <c r="A115" s="10" t="str">
        <f>IF(Settings!$B$4="","",IF(Settings!$B$4+ROW()-4&lt;EDATE(Settings!$B$4,12),Settings!$B$4+ROW()-4,""))</f>
        <v/>
      </c>
      <c r="B115" s="9" t="str">
        <f t="shared" si="4"/>
        <v/>
      </c>
      <c r="C115" s="10" t="str">
        <f>IF(A115="","",IF(DAY(A115)&gt;=Settings!$B$5,DATE(YEAR(A115),MONTH(A115),Settings!$B$5),DATE(YEAR(EDATE(A115,-1)),MONTH(EDATE(A115,-1)),Settings!$B$5)))</f>
        <v/>
      </c>
      <c r="D115" s="8"/>
      <c r="E115" s="10" t="str">
        <f t="shared" si="5"/>
        <v/>
      </c>
      <c r="F115" s="10" t="str">
        <f>IF(A115="","",K114+Settings!$B$8)</f>
        <v/>
      </c>
      <c r="G115" s="11" t="str">
        <f t="shared" si="6"/>
        <v/>
      </c>
      <c r="H115" s="12" t="str">
        <f>IF(G115="","",G115/Settings!$B$8)</f>
        <v/>
      </c>
      <c r="I115" s="38" t="str">
        <f>IF(H115="","",H115*Settings!$B$11)</f>
        <v/>
      </c>
      <c r="J115" s="40" t="str">
        <f>IF(E115="","",IF(E115="W","Weekly Reset",IF(H115&gt;=1,"Very High Benefit; High Unused-Allowance Risk",IF(H115&gt;Settings!$B$17,"Highly Beneficial; Allowance May Be Underused",IF(H115&gt;=Settings!$B$17,"Highly Beneficial",IF(H115&gt;=0.4,"Moderate",IF(H115&gt;0,"Low Benefit","No Advance Benefit")))))))</f>
        <v/>
      </c>
      <c r="K115" s="10" t="str">
        <f t="shared" si="7"/>
        <v/>
      </c>
    </row>
    <row r="116" spans="1:11" ht="14.25" customHeight="1">
      <c r="A116" s="10" t="str">
        <f>IF(Settings!$B$4="","",IF(Settings!$B$4+ROW()-4&lt;EDATE(Settings!$B$4,12),Settings!$B$4+ROW()-4,""))</f>
        <v/>
      </c>
      <c r="B116" s="9" t="str">
        <f t="shared" si="4"/>
        <v/>
      </c>
      <c r="C116" s="10" t="str">
        <f>IF(A116="","",IF(DAY(A116)&gt;=Settings!$B$5,DATE(YEAR(A116),MONTH(A116),Settings!$B$5),DATE(YEAR(EDATE(A116,-1)),MONTH(EDATE(A116,-1)),Settings!$B$5)))</f>
        <v/>
      </c>
      <c r="D116" s="8"/>
      <c r="E116" s="10" t="str">
        <f t="shared" si="5"/>
        <v/>
      </c>
      <c r="F116" s="10" t="str">
        <f>IF(A116="","",K115+Settings!$B$8)</f>
        <v/>
      </c>
      <c r="G116" s="11" t="str">
        <f t="shared" si="6"/>
        <v/>
      </c>
      <c r="H116" s="12" t="str">
        <f>IF(G116="","",G116/Settings!$B$8)</f>
        <v/>
      </c>
      <c r="I116" s="38" t="str">
        <f>IF(H116="","",H116*Settings!$B$11)</f>
        <v/>
      </c>
      <c r="J116" s="40" t="str">
        <f>IF(E116="","",IF(E116="W","Weekly Reset",IF(H116&gt;=1,"Very High Benefit; High Unused-Allowance Risk",IF(H116&gt;Settings!$B$17,"Highly Beneficial; Allowance May Be Underused",IF(H116&gt;=Settings!$B$17,"Highly Beneficial",IF(H116&gt;=0.4,"Moderate",IF(H116&gt;0,"Low Benefit","No Advance Benefit")))))))</f>
        <v/>
      </c>
      <c r="K116" s="10" t="str">
        <f t="shared" si="7"/>
        <v/>
      </c>
    </row>
    <row r="117" spans="1:11" ht="14.25" customHeight="1">
      <c r="A117" s="10" t="str">
        <f>IF(Settings!$B$4="","",IF(Settings!$B$4+ROW()-4&lt;EDATE(Settings!$B$4,12),Settings!$B$4+ROW()-4,""))</f>
        <v/>
      </c>
      <c r="B117" s="9" t="str">
        <f t="shared" si="4"/>
        <v/>
      </c>
      <c r="C117" s="10" t="str">
        <f>IF(A117="","",IF(DAY(A117)&gt;=Settings!$B$5,DATE(YEAR(A117),MONTH(A117),Settings!$B$5),DATE(YEAR(EDATE(A117,-1)),MONTH(EDATE(A117,-1)),Settings!$B$5)))</f>
        <v/>
      </c>
      <c r="D117" s="8"/>
      <c r="E117" s="10" t="str">
        <f t="shared" si="5"/>
        <v/>
      </c>
      <c r="F117" s="10" t="str">
        <f>IF(A117="","",K116+Settings!$B$8)</f>
        <v/>
      </c>
      <c r="G117" s="11" t="str">
        <f t="shared" si="6"/>
        <v/>
      </c>
      <c r="H117" s="12" t="str">
        <f>IF(G117="","",G117/Settings!$B$8)</f>
        <v/>
      </c>
      <c r="I117" s="38" t="str">
        <f>IF(H117="","",H117*Settings!$B$11)</f>
        <v/>
      </c>
      <c r="J117" s="40" t="str">
        <f>IF(E117="","",IF(E117="W","Weekly Reset",IF(H117&gt;=1,"Very High Benefit; High Unused-Allowance Risk",IF(H117&gt;Settings!$B$17,"Highly Beneficial; Allowance May Be Underused",IF(H117&gt;=Settings!$B$17,"Highly Beneficial",IF(H117&gt;=0.4,"Moderate",IF(H117&gt;0,"Low Benefit","No Advance Benefit")))))))</f>
        <v/>
      </c>
      <c r="K117" s="10" t="str">
        <f t="shared" si="7"/>
        <v/>
      </c>
    </row>
    <row r="118" spans="1:11" ht="14.25" customHeight="1">
      <c r="A118" s="10" t="str">
        <f>IF(Settings!$B$4="","",IF(Settings!$B$4+ROW()-4&lt;EDATE(Settings!$B$4,12),Settings!$B$4+ROW()-4,""))</f>
        <v/>
      </c>
      <c r="B118" s="9" t="str">
        <f t="shared" si="4"/>
        <v/>
      </c>
      <c r="C118" s="10" t="str">
        <f>IF(A118="","",IF(DAY(A118)&gt;=Settings!$B$5,DATE(YEAR(A118),MONTH(A118),Settings!$B$5),DATE(YEAR(EDATE(A118,-1)),MONTH(EDATE(A118,-1)),Settings!$B$5)))</f>
        <v/>
      </c>
      <c r="D118" s="8"/>
      <c r="E118" s="10" t="str">
        <f t="shared" si="5"/>
        <v/>
      </c>
      <c r="F118" s="10" t="str">
        <f>IF(A118="","",K117+Settings!$B$8)</f>
        <v/>
      </c>
      <c r="G118" s="11" t="str">
        <f t="shared" si="6"/>
        <v/>
      </c>
      <c r="H118" s="12" t="str">
        <f>IF(G118="","",G118/Settings!$B$8)</f>
        <v/>
      </c>
      <c r="I118" s="38" t="str">
        <f>IF(H118="","",H118*Settings!$B$11)</f>
        <v/>
      </c>
      <c r="J118" s="40" t="str">
        <f>IF(E118="","",IF(E118="W","Weekly Reset",IF(H118&gt;=1,"Very High Benefit; High Unused-Allowance Risk",IF(H118&gt;Settings!$B$17,"Highly Beneficial; Allowance May Be Underused",IF(H118&gt;=Settings!$B$17,"Highly Beneficial",IF(H118&gt;=0.4,"Moderate",IF(H118&gt;0,"Low Benefit","No Advance Benefit")))))))</f>
        <v/>
      </c>
      <c r="K118" s="10" t="str">
        <f t="shared" si="7"/>
        <v/>
      </c>
    </row>
    <row r="119" spans="1:11" ht="14.25" customHeight="1">
      <c r="A119" s="10" t="str">
        <f>IF(Settings!$B$4="","",IF(Settings!$B$4+ROW()-4&lt;EDATE(Settings!$B$4,12),Settings!$B$4+ROW()-4,""))</f>
        <v/>
      </c>
      <c r="B119" s="9" t="str">
        <f t="shared" si="4"/>
        <v/>
      </c>
      <c r="C119" s="10" t="str">
        <f>IF(A119="","",IF(DAY(A119)&gt;=Settings!$B$5,DATE(YEAR(A119),MONTH(A119),Settings!$B$5),DATE(YEAR(EDATE(A119,-1)),MONTH(EDATE(A119,-1)),Settings!$B$5)))</f>
        <v/>
      </c>
      <c r="D119" s="8"/>
      <c r="E119" s="10" t="str">
        <f t="shared" si="5"/>
        <v/>
      </c>
      <c r="F119" s="10" t="str">
        <f>IF(A119="","",K118+Settings!$B$8)</f>
        <v/>
      </c>
      <c r="G119" s="11" t="str">
        <f t="shared" si="6"/>
        <v/>
      </c>
      <c r="H119" s="12" t="str">
        <f>IF(G119="","",G119/Settings!$B$8)</f>
        <v/>
      </c>
      <c r="I119" s="38" t="str">
        <f>IF(H119="","",H119*Settings!$B$11)</f>
        <v/>
      </c>
      <c r="J119" s="40" t="str">
        <f>IF(E119="","",IF(E119="W","Weekly Reset",IF(H119&gt;=1,"Very High Benefit; High Unused-Allowance Risk",IF(H119&gt;Settings!$B$17,"Highly Beneficial; Allowance May Be Underused",IF(H119&gt;=Settings!$B$17,"Highly Beneficial",IF(H119&gt;=0.4,"Moderate",IF(H119&gt;0,"Low Benefit","No Advance Benefit")))))))</f>
        <v/>
      </c>
      <c r="K119" s="10" t="str">
        <f t="shared" si="7"/>
        <v/>
      </c>
    </row>
    <row r="120" spans="1:11" ht="14.25" customHeight="1">
      <c r="A120" s="10" t="str">
        <f>IF(Settings!$B$4="","",IF(Settings!$B$4+ROW()-4&lt;EDATE(Settings!$B$4,12),Settings!$B$4+ROW()-4,""))</f>
        <v/>
      </c>
      <c r="B120" s="9" t="str">
        <f t="shared" si="4"/>
        <v/>
      </c>
      <c r="C120" s="10" t="str">
        <f>IF(A120="","",IF(DAY(A120)&gt;=Settings!$B$5,DATE(YEAR(A120),MONTH(A120),Settings!$B$5),DATE(YEAR(EDATE(A120,-1)),MONTH(EDATE(A120,-1)),Settings!$B$5)))</f>
        <v/>
      </c>
      <c r="D120" s="8"/>
      <c r="E120" s="10" t="str">
        <f t="shared" si="5"/>
        <v/>
      </c>
      <c r="F120" s="10" t="str">
        <f>IF(A120="","",K119+Settings!$B$8)</f>
        <v/>
      </c>
      <c r="G120" s="11" t="str">
        <f t="shared" si="6"/>
        <v/>
      </c>
      <c r="H120" s="12" t="str">
        <f>IF(G120="","",G120/Settings!$B$8)</f>
        <v/>
      </c>
      <c r="I120" s="38" t="str">
        <f>IF(H120="","",H120*Settings!$B$11)</f>
        <v/>
      </c>
      <c r="J120" s="40" t="str">
        <f>IF(E120="","",IF(E120="W","Weekly Reset",IF(H120&gt;=1,"Very High Benefit; High Unused-Allowance Risk",IF(H120&gt;Settings!$B$17,"Highly Beneficial; Allowance May Be Underused",IF(H120&gt;=Settings!$B$17,"Highly Beneficial",IF(H120&gt;=0.4,"Moderate",IF(H120&gt;0,"Low Benefit","No Advance Benefit")))))))</f>
        <v/>
      </c>
      <c r="K120" s="10" t="str">
        <f t="shared" si="7"/>
        <v/>
      </c>
    </row>
    <row r="121" spans="1:11" ht="14.25" customHeight="1">
      <c r="A121" s="10" t="str">
        <f>IF(Settings!$B$4="","",IF(Settings!$B$4+ROW()-4&lt;EDATE(Settings!$B$4,12),Settings!$B$4+ROW()-4,""))</f>
        <v/>
      </c>
      <c r="B121" s="9" t="str">
        <f t="shared" si="4"/>
        <v/>
      </c>
      <c r="C121" s="10" t="str">
        <f>IF(A121="","",IF(DAY(A121)&gt;=Settings!$B$5,DATE(YEAR(A121),MONTH(A121),Settings!$B$5),DATE(YEAR(EDATE(A121,-1)),MONTH(EDATE(A121,-1)),Settings!$B$5)))</f>
        <v/>
      </c>
      <c r="D121" s="8"/>
      <c r="E121" s="10" t="str">
        <f t="shared" si="5"/>
        <v/>
      </c>
      <c r="F121" s="10" t="str">
        <f>IF(A121="","",K120+Settings!$B$8)</f>
        <v/>
      </c>
      <c r="G121" s="11" t="str">
        <f t="shared" si="6"/>
        <v/>
      </c>
      <c r="H121" s="12" t="str">
        <f>IF(G121="","",G121/Settings!$B$8)</f>
        <v/>
      </c>
      <c r="I121" s="38" t="str">
        <f>IF(H121="","",H121*Settings!$B$11)</f>
        <v/>
      </c>
      <c r="J121" s="40" t="str">
        <f>IF(E121="","",IF(E121="W","Weekly Reset",IF(H121&gt;=1,"Very High Benefit; High Unused-Allowance Risk",IF(H121&gt;Settings!$B$17,"Highly Beneficial; Allowance May Be Underused",IF(H121&gt;=Settings!$B$17,"Highly Beneficial",IF(H121&gt;=0.4,"Moderate",IF(H121&gt;0,"Low Benefit","No Advance Benefit")))))))</f>
        <v/>
      </c>
      <c r="K121" s="10" t="str">
        <f t="shared" si="7"/>
        <v/>
      </c>
    </row>
    <row r="122" spans="1:11" ht="14.25" customHeight="1">
      <c r="A122" s="10" t="str">
        <f>IF(Settings!$B$4="","",IF(Settings!$B$4+ROW()-4&lt;EDATE(Settings!$B$4,12),Settings!$B$4+ROW()-4,""))</f>
        <v/>
      </c>
      <c r="B122" s="9" t="str">
        <f t="shared" si="4"/>
        <v/>
      </c>
      <c r="C122" s="10" t="str">
        <f>IF(A122="","",IF(DAY(A122)&gt;=Settings!$B$5,DATE(YEAR(A122),MONTH(A122),Settings!$B$5),DATE(YEAR(EDATE(A122,-1)),MONTH(EDATE(A122,-1)),Settings!$B$5)))</f>
        <v/>
      </c>
      <c r="D122" s="8"/>
      <c r="E122" s="10" t="str">
        <f t="shared" si="5"/>
        <v/>
      </c>
      <c r="F122" s="10" t="str">
        <f>IF(A122="","",K121+Settings!$B$8)</f>
        <v/>
      </c>
      <c r="G122" s="11" t="str">
        <f t="shared" si="6"/>
        <v/>
      </c>
      <c r="H122" s="12" t="str">
        <f>IF(G122="","",G122/Settings!$B$8)</f>
        <v/>
      </c>
      <c r="I122" s="38" t="str">
        <f>IF(H122="","",H122*Settings!$B$11)</f>
        <v/>
      </c>
      <c r="J122" s="40" t="str">
        <f>IF(E122="","",IF(E122="W","Weekly Reset",IF(H122&gt;=1,"Very High Benefit; High Unused-Allowance Risk",IF(H122&gt;Settings!$B$17,"Highly Beneficial; Allowance May Be Underused",IF(H122&gt;=Settings!$B$17,"Highly Beneficial",IF(H122&gt;=0.4,"Moderate",IF(H122&gt;0,"Low Benefit","No Advance Benefit")))))))</f>
        <v/>
      </c>
      <c r="K122" s="10" t="str">
        <f t="shared" si="7"/>
        <v/>
      </c>
    </row>
    <row r="123" spans="1:11" ht="14.25" customHeight="1">
      <c r="A123" s="10" t="str">
        <f>IF(Settings!$B$4="","",IF(Settings!$B$4+ROW()-4&lt;EDATE(Settings!$B$4,12),Settings!$B$4+ROW()-4,""))</f>
        <v/>
      </c>
      <c r="B123" s="9" t="str">
        <f t="shared" si="4"/>
        <v/>
      </c>
      <c r="C123" s="10" t="str">
        <f>IF(A123="","",IF(DAY(A123)&gt;=Settings!$B$5,DATE(YEAR(A123),MONTH(A123),Settings!$B$5),DATE(YEAR(EDATE(A123,-1)),MONTH(EDATE(A123,-1)),Settings!$B$5)))</f>
        <v/>
      </c>
      <c r="D123" s="8"/>
      <c r="E123" s="10" t="str">
        <f t="shared" si="5"/>
        <v/>
      </c>
      <c r="F123" s="10" t="str">
        <f>IF(A123="","",K122+Settings!$B$8)</f>
        <v/>
      </c>
      <c r="G123" s="11" t="str">
        <f t="shared" si="6"/>
        <v/>
      </c>
      <c r="H123" s="12" t="str">
        <f>IF(G123="","",G123/Settings!$B$8)</f>
        <v/>
      </c>
      <c r="I123" s="38" t="str">
        <f>IF(H123="","",H123*Settings!$B$11)</f>
        <v/>
      </c>
      <c r="J123" s="40" t="str">
        <f>IF(E123="","",IF(E123="W","Weekly Reset",IF(H123&gt;=1,"Very High Benefit; High Unused-Allowance Risk",IF(H123&gt;Settings!$B$17,"Highly Beneficial; Allowance May Be Underused",IF(H123&gt;=Settings!$B$17,"Highly Beneficial",IF(H123&gt;=0.4,"Moderate",IF(H123&gt;0,"Low Benefit","No Advance Benefit")))))))</f>
        <v/>
      </c>
      <c r="K123" s="10" t="str">
        <f t="shared" si="7"/>
        <v/>
      </c>
    </row>
    <row r="124" spans="1:11" ht="14.25" customHeight="1">
      <c r="A124" s="10" t="str">
        <f>IF(Settings!$B$4="","",IF(Settings!$B$4+ROW()-4&lt;EDATE(Settings!$B$4,12),Settings!$B$4+ROW()-4,""))</f>
        <v/>
      </c>
      <c r="B124" s="9" t="str">
        <f t="shared" si="4"/>
        <v/>
      </c>
      <c r="C124" s="10" t="str">
        <f>IF(A124="","",IF(DAY(A124)&gt;=Settings!$B$5,DATE(YEAR(A124),MONTH(A124),Settings!$B$5),DATE(YEAR(EDATE(A124,-1)),MONTH(EDATE(A124,-1)),Settings!$B$5)))</f>
        <v/>
      </c>
      <c r="D124" s="8"/>
      <c r="E124" s="10" t="str">
        <f t="shared" si="5"/>
        <v/>
      </c>
      <c r="F124" s="10" t="str">
        <f>IF(A124="","",K123+Settings!$B$8)</f>
        <v/>
      </c>
      <c r="G124" s="11" t="str">
        <f t="shared" si="6"/>
        <v/>
      </c>
      <c r="H124" s="12" t="str">
        <f>IF(G124="","",G124/Settings!$B$8)</f>
        <v/>
      </c>
      <c r="I124" s="38" t="str">
        <f>IF(H124="","",H124*Settings!$B$11)</f>
        <v/>
      </c>
      <c r="J124" s="40" t="str">
        <f>IF(E124="","",IF(E124="W","Weekly Reset",IF(H124&gt;=1,"Very High Benefit; High Unused-Allowance Risk",IF(H124&gt;Settings!$B$17,"Highly Beneficial; Allowance May Be Underused",IF(H124&gt;=Settings!$B$17,"Highly Beneficial",IF(H124&gt;=0.4,"Moderate",IF(H124&gt;0,"Low Benefit","No Advance Benefit")))))))</f>
        <v/>
      </c>
      <c r="K124" s="10" t="str">
        <f t="shared" si="7"/>
        <v/>
      </c>
    </row>
    <row r="125" spans="1:11" ht="14.25" customHeight="1">
      <c r="A125" s="10" t="str">
        <f>IF(Settings!$B$4="","",IF(Settings!$B$4+ROW()-4&lt;EDATE(Settings!$B$4,12),Settings!$B$4+ROW()-4,""))</f>
        <v/>
      </c>
      <c r="B125" s="9" t="str">
        <f t="shared" si="4"/>
        <v/>
      </c>
      <c r="C125" s="10" t="str">
        <f>IF(A125="","",IF(DAY(A125)&gt;=Settings!$B$5,DATE(YEAR(A125),MONTH(A125),Settings!$B$5),DATE(YEAR(EDATE(A125,-1)),MONTH(EDATE(A125,-1)),Settings!$B$5)))</f>
        <v/>
      </c>
      <c r="D125" s="8"/>
      <c r="E125" s="10" t="str">
        <f t="shared" si="5"/>
        <v/>
      </c>
      <c r="F125" s="10" t="str">
        <f>IF(A125="","",K124+Settings!$B$8)</f>
        <v/>
      </c>
      <c r="G125" s="11" t="str">
        <f t="shared" si="6"/>
        <v/>
      </c>
      <c r="H125" s="12" t="str">
        <f>IF(G125="","",G125/Settings!$B$8)</f>
        <v/>
      </c>
      <c r="I125" s="38" t="str">
        <f>IF(H125="","",H125*Settings!$B$11)</f>
        <v/>
      </c>
      <c r="J125" s="40" t="str">
        <f>IF(E125="","",IF(E125="W","Weekly Reset",IF(H125&gt;=1,"Very High Benefit; High Unused-Allowance Risk",IF(H125&gt;Settings!$B$17,"Highly Beneficial; Allowance May Be Underused",IF(H125&gt;=Settings!$B$17,"Highly Beneficial",IF(H125&gt;=0.4,"Moderate",IF(H125&gt;0,"Low Benefit","No Advance Benefit")))))))</f>
        <v/>
      </c>
      <c r="K125" s="10" t="str">
        <f t="shared" si="7"/>
        <v/>
      </c>
    </row>
    <row r="126" spans="1:11" ht="14.25" customHeight="1">
      <c r="A126" s="10" t="str">
        <f>IF(Settings!$B$4="","",IF(Settings!$B$4+ROW()-4&lt;EDATE(Settings!$B$4,12),Settings!$B$4+ROW()-4,""))</f>
        <v/>
      </c>
      <c r="B126" s="9" t="str">
        <f t="shared" si="4"/>
        <v/>
      </c>
      <c r="C126" s="10" t="str">
        <f>IF(A126="","",IF(DAY(A126)&gt;=Settings!$B$5,DATE(YEAR(A126),MONTH(A126),Settings!$B$5),DATE(YEAR(EDATE(A126,-1)),MONTH(EDATE(A126,-1)),Settings!$B$5)))</f>
        <v/>
      </c>
      <c r="D126" s="8"/>
      <c r="E126" s="10" t="str">
        <f t="shared" si="5"/>
        <v/>
      </c>
      <c r="F126" s="10" t="str">
        <f>IF(A126="","",K125+Settings!$B$8)</f>
        <v/>
      </c>
      <c r="G126" s="11" t="str">
        <f t="shared" si="6"/>
        <v/>
      </c>
      <c r="H126" s="12" t="str">
        <f>IF(G126="","",G126/Settings!$B$8)</f>
        <v/>
      </c>
      <c r="I126" s="38" t="str">
        <f>IF(H126="","",H126*Settings!$B$11)</f>
        <v/>
      </c>
      <c r="J126" s="40" t="str">
        <f>IF(E126="","",IF(E126="W","Weekly Reset",IF(H126&gt;=1,"Very High Benefit; High Unused-Allowance Risk",IF(H126&gt;Settings!$B$17,"Highly Beneficial; Allowance May Be Underused",IF(H126&gt;=Settings!$B$17,"Highly Beneficial",IF(H126&gt;=0.4,"Moderate",IF(H126&gt;0,"Low Benefit","No Advance Benefit")))))))</f>
        <v/>
      </c>
      <c r="K126" s="10" t="str">
        <f t="shared" si="7"/>
        <v/>
      </c>
    </row>
    <row r="127" spans="1:11" ht="14.25" customHeight="1">
      <c r="A127" s="10" t="str">
        <f>IF(Settings!$B$4="","",IF(Settings!$B$4+ROW()-4&lt;EDATE(Settings!$B$4,12),Settings!$B$4+ROW()-4,""))</f>
        <v/>
      </c>
      <c r="B127" s="9" t="str">
        <f t="shared" si="4"/>
        <v/>
      </c>
      <c r="C127" s="10" t="str">
        <f>IF(A127="","",IF(DAY(A127)&gt;=Settings!$B$5,DATE(YEAR(A127),MONTH(A127),Settings!$B$5),DATE(YEAR(EDATE(A127,-1)),MONTH(EDATE(A127,-1)),Settings!$B$5)))</f>
        <v/>
      </c>
      <c r="D127" s="8"/>
      <c r="E127" s="10" t="str">
        <f t="shared" si="5"/>
        <v/>
      </c>
      <c r="F127" s="10" t="str">
        <f>IF(A127="","",K126+Settings!$B$8)</f>
        <v/>
      </c>
      <c r="G127" s="11" t="str">
        <f t="shared" si="6"/>
        <v/>
      </c>
      <c r="H127" s="12" t="str">
        <f>IF(G127="","",G127/Settings!$B$8)</f>
        <v/>
      </c>
      <c r="I127" s="38" t="str">
        <f>IF(H127="","",H127*Settings!$B$11)</f>
        <v/>
      </c>
      <c r="J127" s="40" t="str">
        <f>IF(E127="","",IF(E127="W","Weekly Reset",IF(H127&gt;=1,"Very High Benefit; High Unused-Allowance Risk",IF(H127&gt;Settings!$B$17,"Highly Beneficial; Allowance May Be Underused",IF(H127&gt;=Settings!$B$17,"Highly Beneficial",IF(H127&gt;=0.4,"Moderate",IF(H127&gt;0,"Low Benefit","No Advance Benefit")))))))</f>
        <v/>
      </c>
      <c r="K127" s="10" t="str">
        <f t="shared" si="7"/>
        <v/>
      </c>
    </row>
    <row r="128" spans="1:11" ht="14.25" customHeight="1">
      <c r="A128" s="10" t="str">
        <f>IF(Settings!$B$4="","",IF(Settings!$B$4+ROW()-4&lt;EDATE(Settings!$B$4,12),Settings!$B$4+ROW()-4,""))</f>
        <v/>
      </c>
      <c r="B128" s="9" t="str">
        <f t="shared" si="4"/>
        <v/>
      </c>
      <c r="C128" s="10" t="str">
        <f>IF(A128="","",IF(DAY(A128)&gt;=Settings!$B$5,DATE(YEAR(A128),MONTH(A128),Settings!$B$5),DATE(YEAR(EDATE(A128,-1)),MONTH(EDATE(A128,-1)),Settings!$B$5)))</f>
        <v/>
      </c>
      <c r="D128" s="8"/>
      <c r="E128" s="10" t="str">
        <f t="shared" si="5"/>
        <v/>
      </c>
      <c r="F128" s="10" t="str">
        <f>IF(A128="","",K127+Settings!$B$8)</f>
        <v/>
      </c>
      <c r="G128" s="11" t="str">
        <f t="shared" si="6"/>
        <v/>
      </c>
      <c r="H128" s="12" t="str">
        <f>IF(G128="","",G128/Settings!$B$8)</f>
        <v/>
      </c>
      <c r="I128" s="38" t="str">
        <f>IF(H128="","",H128*Settings!$B$11)</f>
        <v/>
      </c>
      <c r="J128" s="40" t="str">
        <f>IF(E128="","",IF(E128="W","Weekly Reset",IF(H128&gt;=1,"Very High Benefit; High Unused-Allowance Risk",IF(H128&gt;Settings!$B$17,"Highly Beneficial; Allowance May Be Underused",IF(H128&gt;=Settings!$B$17,"Highly Beneficial",IF(H128&gt;=0.4,"Moderate",IF(H128&gt;0,"Low Benefit","No Advance Benefit")))))))</f>
        <v/>
      </c>
      <c r="K128" s="10" t="str">
        <f t="shared" si="7"/>
        <v/>
      </c>
    </row>
    <row r="129" spans="1:11" ht="14.25" customHeight="1">
      <c r="A129" s="10" t="str">
        <f>IF(Settings!$B$4="","",IF(Settings!$B$4+ROW()-4&lt;EDATE(Settings!$B$4,12),Settings!$B$4+ROW()-4,""))</f>
        <v/>
      </c>
      <c r="B129" s="9" t="str">
        <f t="shared" si="4"/>
        <v/>
      </c>
      <c r="C129" s="10" t="str">
        <f>IF(A129="","",IF(DAY(A129)&gt;=Settings!$B$5,DATE(YEAR(A129),MONTH(A129),Settings!$B$5),DATE(YEAR(EDATE(A129,-1)),MONTH(EDATE(A129,-1)),Settings!$B$5)))</f>
        <v/>
      </c>
      <c r="D129" s="8"/>
      <c r="E129" s="10" t="str">
        <f t="shared" si="5"/>
        <v/>
      </c>
      <c r="F129" s="10" t="str">
        <f>IF(A129="","",K128+Settings!$B$8)</f>
        <v/>
      </c>
      <c r="G129" s="11" t="str">
        <f t="shared" si="6"/>
        <v/>
      </c>
      <c r="H129" s="12" t="str">
        <f>IF(G129="","",G129/Settings!$B$8)</f>
        <v/>
      </c>
      <c r="I129" s="38" t="str">
        <f>IF(H129="","",H129*Settings!$B$11)</f>
        <v/>
      </c>
      <c r="J129" s="40" t="str">
        <f>IF(E129="","",IF(E129="W","Weekly Reset",IF(H129&gt;=1,"Very High Benefit; High Unused-Allowance Risk",IF(H129&gt;Settings!$B$17,"Highly Beneficial; Allowance May Be Underused",IF(H129&gt;=Settings!$B$17,"Highly Beneficial",IF(H129&gt;=0.4,"Moderate",IF(H129&gt;0,"Low Benefit","No Advance Benefit")))))))</f>
        <v/>
      </c>
      <c r="K129" s="10" t="str">
        <f t="shared" si="7"/>
        <v/>
      </c>
    </row>
    <row r="130" spans="1:11" ht="14.25" customHeight="1">
      <c r="A130" s="10" t="str">
        <f>IF(Settings!$B$4="","",IF(Settings!$B$4+ROW()-4&lt;EDATE(Settings!$B$4,12),Settings!$B$4+ROW()-4,""))</f>
        <v/>
      </c>
      <c r="B130" s="9" t="str">
        <f t="shared" si="4"/>
        <v/>
      </c>
      <c r="C130" s="10" t="str">
        <f>IF(A130="","",IF(DAY(A130)&gt;=Settings!$B$5,DATE(YEAR(A130),MONTH(A130),Settings!$B$5),DATE(YEAR(EDATE(A130,-1)),MONTH(EDATE(A130,-1)),Settings!$B$5)))</f>
        <v/>
      </c>
      <c r="D130" s="8"/>
      <c r="E130" s="10" t="str">
        <f t="shared" si="5"/>
        <v/>
      </c>
      <c r="F130" s="10" t="str">
        <f>IF(A130="","",K129+Settings!$B$8)</f>
        <v/>
      </c>
      <c r="G130" s="11" t="str">
        <f t="shared" si="6"/>
        <v/>
      </c>
      <c r="H130" s="12" t="str">
        <f>IF(G130="","",G130/Settings!$B$8)</f>
        <v/>
      </c>
      <c r="I130" s="38" t="str">
        <f>IF(H130="","",H130*Settings!$B$11)</f>
        <v/>
      </c>
      <c r="J130" s="40" t="str">
        <f>IF(E130="","",IF(E130="W","Weekly Reset",IF(H130&gt;=1,"Very High Benefit; High Unused-Allowance Risk",IF(H130&gt;Settings!$B$17,"Highly Beneficial; Allowance May Be Underused",IF(H130&gt;=Settings!$B$17,"Highly Beneficial",IF(H130&gt;=0.4,"Moderate",IF(H130&gt;0,"Low Benefit","No Advance Benefit")))))))</f>
        <v/>
      </c>
      <c r="K130" s="10" t="str">
        <f t="shared" si="7"/>
        <v/>
      </c>
    </row>
    <row r="131" spans="1:11" ht="14.25" customHeight="1">
      <c r="A131" s="10" t="str">
        <f>IF(Settings!$B$4="","",IF(Settings!$B$4+ROW()-4&lt;EDATE(Settings!$B$4,12),Settings!$B$4+ROW()-4,""))</f>
        <v/>
      </c>
      <c r="B131" s="9" t="str">
        <f t="shared" si="4"/>
        <v/>
      </c>
      <c r="C131" s="10" t="str">
        <f>IF(A131="","",IF(DAY(A131)&gt;=Settings!$B$5,DATE(YEAR(A131),MONTH(A131),Settings!$B$5),DATE(YEAR(EDATE(A131,-1)),MONTH(EDATE(A131,-1)),Settings!$B$5)))</f>
        <v/>
      </c>
      <c r="D131" s="8"/>
      <c r="E131" s="10" t="str">
        <f t="shared" si="5"/>
        <v/>
      </c>
      <c r="F131" s="10" t="str">
        <f>IF(A131="","",K130+Settings!$B$8)</f>
        <v/>
      </c>
      <c r="G131" s="11" t="str">
        <f t="shared" si="6"/>
        <v/>
      </c>
      <c r="H131" s="12" t="str">
        <f>IF(G131="","",G131/Settings!$B$8)</f>
        <v/>
      </c>
      <c r="I131" s="38" t="str">
        <f>IF(H131="","",H131*Settings!$B$11)</f>
        <v/>
      </c>
      <c r="J131" s="40" t="str">
        <f>IF(E131="","",IF(E131="W","Weekly Reset",IF(H131&gt;=1,"Very High Benefit; High Unused-Allowance Risk",IF(H131&gt;Settings!$B$17,"Highly Beneficial; Allowance May Be Underused",IF(H131&gt;=Settings!$B$17,"Highly Beneficial",IF(H131&gt;=0.4,"Moderate",IF(H131&gt;0,"Low Benefit","No Advance Benefit")))))))</f>
        <v/>
      </c>
      <c r="K131" s="10" t="str">
        <f t="shared" si="7"/>
        <v/>
      </c>
    </row>
    <row r="132" spans="1:11" ht="14.25" customHeight="1">
      <c r="A132" s="10" t="str">
        <f>IF(Settings!$B$4="","",IF(Settings!$B$4+ROW()-4&lt;EDATE(Settings!$B$4,12),Settings!$B$4+ROW()-4,""))</f>
        <v/>
      </c>
      <c r="B132" s="9" t="str">
        <f t="shared" ref="B132:B195" si="8">IF(A132="","",CHOOSE(WEEKDAY(A132,2),"Mon","Tue","Wed","Thu","Fri","Sat","Sun"))</f>
        <v/>
      </c>
      <c r="C132" s="10" t="str">
        <f>IF(A132="","",IF(DAY(A132)&gt;=Settings!$B$5,DATE(YEAR(A132),MONTH(A132),Settings!$B$5),DATE(YEAR(EDATE(A132,-1)),MONTH(EDATE(A132,-1)),Settings!$B$5)))</f>
        <v/>
      </c>
      <c r="D132" s="8"/>
      <c r="E132" s="10" t="str">
        <f t="shared" ref="E132:E195" si="9">IF(A132="","",IF(D132&lt;&gt;"",D132,IF(A132=F132,"W","")))</f>
        <v/>
      </c>
      <c r="F132" s="10" t="str">
        <f>IF(A132="","",K131+Settings!$B$8)</f>
        <v/>
      </c>
      <c r="G132" s="11" t="str">
        <f t="shared" ref="G132:G195" si="10">IF(OR(A132="",D132=""),"",MAX(0,F132-A132))</f>
        <v/>
      </c>
      <c r="H132" s="12" t="str">
        <f>IF(G132="","",G132/Settings!$B$8)</f>
        <v/>
      </c>
      <c r="I132" s="38" t="str">
        <f>IF(H132="","",H132*Settings!$B$11)</f>
        <v/>
      </c>
      <c r="J132" s="40" t="str">
        <f>IF(E132="","",IF(E132="W","Weekly Reset",IF(H132&gt;=1,"Very High Benefit; High Unused-Allowance Risk",IF(H132&gt;Settings!$B$17,"Highly Beneficial; Allowance May Be Underused",IF(H132&gt;=Settings!$B$17,"Highly Beneficial",IF(H132&gt;=0.4,"Moderate",IF(H132&gt;0,"Low Benefit","No Advance Benefit")))))))</f>
        <v/>
      </c>
      <c r="K132" s="10" t="str">
        <f t="shared" si="7"/>
        <v/>
      </c>
    </row>
    <row r="133" spans="1:11" ht="14.25" customHeight="1">
      <c r="A133" s="10" t="str">
        <f>IF(Settings!$B$4="","",IF(Settings!$B$4+ROW()-4&lt;EDATE(Settings!$B$4,12),Settings!$B$4+ROW()-4,""))</f>
        <v/>
      </c>
      <c r="B133" s="9" t="str">
        <f t="shared" si="8"/>
        <v/>
      </c>
      <c r="C133" s="10" t="str">
        <f>IF(A133="","",IF(DAY(A133)&gt;=Settings!$B$5,DATE(YEAR(A133),MONTH(A133),Settings!$B$5),DATE(YEAR(EDATE(A133,-1)),MONTH(EDATE(A133,-1)),Settings!$B$5)))</f>
        <v/>
      </c>
      <c r="D133" s="8"/>
      <c r="E133" s="10" t="str">
        <f t="shared" si="9"/>
        <v/>
      </c>
      <c r="F133" s="10" t="str">
        <f>IF(A133="","",K132+Settings!$B$8)</f>
        <v/>
      </c>
      <c r="G133" s="11" t="str">
        <f t="shared" si="10"/>
        <v/>
      </c>
      <c r="H133" s="12" t="str">
        <f>IF(G133="","",G133/Settings!$B$8)</f>
        <v/>
      </c>
      <c r="I133" s="38" t="str">
        <f>IF(H133="","",H133*Settings!$B$11)</f>
        <v/>
      </c>
      <c r="J133" s="40" t="str">
        <f>IF(E133="","",IF(E133="W","Weekly Reset",IF(H133&gt;=1,"Very High Benefit; High Unused-Allowance Risk",IF(H133&gt;Settings!$B$17,"Highly Beneficial; Allowance May Be Underused",IF(H133&gt;=Settings!$B$17,"Highly Beneficial",IF(H133&gt;=0.4,"Moderate",IF(H133&gt;0,"Low Benefit","No Advance Benefit")))))))</f>
        <v/>
      </c>
      <c r="K133" s="10" t="str">
        <f t="shared" ref="K133:K196" si="11">IF(A133="","",IF(D133&lt;&gt;"",A133,IF(A133=F133,A133,K132)))</f>
        <v/>
      </c>
    </row>
    <row r="134" spans="1:11" ht="14.25" customHeight="1">
      <c r="A134" s="10" t="str">
        <f>IF(Settings!$B$4="","",IF(Settings!$B$4+ROW()-4&lt;EDATE(Settings!$B$4,12),Settings!$B$4+ROW()-4,""))</f>
        <v/>
      </c>
      <c r="B134" s="9" t="str">
        <f t="shared" si="8"/>
        <v/>
      </c>
      <c r="C134" s="10" t="str">
        <f>IF(A134="","",IF(DAY(A134)&gt;=Settings!$B$5,DATE(YEAR(A134),MONTH(A134),Settings!$B$5),DATE(YEAR(EDATE(A134,-1)),MONTH(EDATE(A134,-1)),Settings!$B$5)))</f>
        <v/>
      </c>
      <c r="D134" s="8"/>
      <c r="E134" s="10" t="str">
        <f t="shared" si="9"/>
        <v/>
      </c>
      <c r="F134" s="10" t="str">
        <f>IF(A134="","",K133+Settings!$B$8)</f>
        <v/>
      </c>
      <c r="G134" s="11" t="str">
        <f t="shared" si="10"/>
        <v/>
      </c>
      <c r="H134" s="12" t="str">
        <f>IF(G134="","",G134/Settings!$B$8)</f>
        <v/>
      </c>
      <c r="I134" s="38" t="str">
        <f>IF(H134="","",H134*Settings!$B$11)</f>
        <v/>
      </c>
      <c r="J134" s="40" t="str">
        <f>IF(E134="","",IF(E134="W","Weekly Reset",IF(H134&gt;=1,"Very High Benefit; High Unused-Allowance Risk",IF(H134&gt;Settings!$B$17,"Highly Beneficial; Allowance May Be Underused",IF(H134&gt;=Settings!$B$17,"Highly Beneficial",IF(H134&gt;=0.4,"Moderate",IF(H134&gt;0,"Low Benefit","No Advance Benefit")))))))</f>
        <v/>
      </c>
      <c r="K134" s="10" t="str">
        <f t="shared" si="11"/>
        <v/>
      </c>
    </row>
    <row r="135" spans="1:11" ht="14.25" customHeight="1">
      <c r="A135" s="10" t="str">
        <f>IF(Settings!$B$4="","",IF(Settings!$B$4+ROW()-4&lt;EDATE(Settings!$B$4,12),Settings!$B$4+ROW()-4,""))</f>
        <v/>
      </c>
      <c r="B135" s="9" t="str">
        <f t="shared" si="8"/>
        <v/>
      </c>
      <c r="C135" s="10" t="str">
        <f>IF(A135="","",IF(DAY(A135)&gt;=Settings!$B$5,DATE(YEAR(A135),MONTH(A135),Settings!$B$5),DATE(YEAR(EDATE(A135,-1)),MONTH(EDATE(A135,-1)),Settings!$B$5)))</f>
        <v/>
      </c>
      <c r="D135" s="8"/>
      <c r="E135" s="10" t="str">
        <f t="shared" si="9"/>
        <v/>
      </c>
      <c r="F135" s="10" t="str">
        <f>IF(A135="","",K134+Settings!$B$8)</f>
        <v/>
      </c>
      <c r="G135" s="11" t="str">
        <f t="shared" si="10"/>
        <v/>
      </c>
      <c r="H135" s="12" t="str">
        <f>IF(G135="","",G135/Settings!$B$8)</f>
        <v/>
      </c>
      <c r="I135" s="38" t="str">
        <f>IF(H135="","",H135*Settings!$B$11)</f>
        <v/>
      </c>
      <c r="J135" s="40" t="str">
        <f>IF(E135="","",IF(E135="W","Weekly Reset",IF(H135&gt;=1,"Very High Benefit; High Unused-Allowance Risk",IF(H135&gt;Settings!$B$17,"Highly Beneficial; Allowance May Be Underused",IF(H135&gt;=Settings!$B$17,"Highly Beneficial",IF(H135&gt;=0.4,"Moderate",IF(H135&gt;0,"Low Benefit","No Advance Benefit")))))))</f>
        <v/>
      </c>
      <c r="K135" s="10" t="str">
        <f t="shared" si="11"/>
        <v/>
      </c>
    </row>
    <row r="136" spans="1:11" ht="14.25" customHeight="1">
      <c r="A136" s="10" t="str">
        <f>IF(Settings!$B$4="","",IF(Settings!$B$4+ROW()-4&lt;EDATE(Settings!$B$4,12),Settings!$B$4+ROW()-4,""))</f>
        <v/>
      </c>
      <c r="B136" s="9" t="str">
        <f t="shared" si="8"/>
        <v/>
      </c>
      <c r="C136" s="10" t="str">
        <f>IF(A136="","",IF(DAY(A136)&gt;=Settings!$B$5,DATE(YEAR(A136),MONTH(A136),Settings!$B$5),DATE(YEAR(EDATE(A136,-1)),MONTH(EDATE(A136,-1)),Settings!$B$5)))</f>
        <v/>
      </c>
      <c r="D136" s="8"/>
      <c r="E136" s="10" t="str">
        <f t="shared" si="9"/>
        <v/>
      </c>
      <c r="F136" s="10" t="str">
        <f>IF(A136="","",K135+Settings!$B$8)</f>
        <v/>
      </c>
      <c r="G136" s="11" t="str">
        <f t="shared" si="10"/>
        <v/>
      </c>
      <c r="H136" s="12" t="str">
        <f>IF(G136="","",G136/Settings!$B$8)</f>
        <v/>
      </c>
      <c r="I136" s="38" t="str">
        <f>IF(H136="","",H136*Settings!$B$11)</f>
        <v/>
      </c>
      <c r="J136" s="40" t="str">
        <f>IF(E136="","",IF(E136="W","Weekly Reset",IF(H136&gt;=1,"Very High Benefit; High Unused-Allowance Risk",IF(H136&gt;Settings!$B$17,"Highly Beneficial; Allowance May Be Underused",IF(H136&gt;=Settings!$B$17,"Highly Beneficial",IF(H136&gt;=0.4,"Moderate",IF(H136&gt;0,"Low Benefit","No Advance Benefit")))))))</f>
        <v/>
      </c>
      <c r="K136" s="10" t="str">
        <f t="shared" si="11"/>
        <v/>
      </c>
    </row>
    <row r="137" spans="1:11" ht="14.25" customHeight="1">
      <c r="A137" s="10" t="str">
        <f>IF(Settings!$B$4="","",IF(Settings!$B$4+ROW()-4&lt;EDATE(Settings!$B$4,12),Settings!$B$4+ROW()-4,""))</f>
        <v/>
      </c>
      <c r="B137" s="9" t="str">
        <f t="shared" si="8"/>
        <v/>
      </c>
      <c r="C137" s="10" t="str">
        <f>IF(A137="","",IF(DAY(A137)&gt;=Settings!$B$5,DATE(YEAR(A137),MONTH(A137),Settings!$B$5),DATE(YEAR(EDATE(A137,-1)),MONTH(EDATE(A137,-1)),Settings!$B$5)))</f>
        <v/>
      </c>
      <c r="D137" s="8"/>
      <c r="E137" s="10" t="str">
        <f t="shared" si="9"/>
        <v/>
      </c>
      <c r="F137" s="10" t="str">
        <f>IF(A137="","",K136+Settings!$B$8)</f>
        <v/>
      </c>
      <c r="G137" s="11" t="str">
        <f t="shared" si="10"/>
        <v/>
      </c>
      <c r="H137" s="12" t="str">
        <f>IF(G137="","",G137/Settings!$B$8)</f>
        <v/>
      </c>
      <c r="I137" s="38" t="str">
        <f>IF(H137="","",H137*Settings!$B$11)</f>
        <v/>
      </c>
      <c r="J137" s="40" t="str">
        <f>IF(E137="","",IF(E137="W","Weekly Reset",IF(H137&gt;=1,"Very High Benefit; High Unused-Allowance Risk",IF(H137&gt;Settings!$B$17,"Highly Beneficial; Allowance May Be Underused",IF(H137&gt;=Settings!$B$17,"Highly Beneficial",IF(H137&gt;=0.4,"Moderate",IF(H137&gt;0,"Low Benefit","No Advance Benefit")))))))</f>
        <v/>
      </c>
      <c r="K137" s="10" t="str">
        <f t="shared" si="11"/>
        <v/>
      </c>
    </row>
    <row r="138" spans="1:11" ht="14.25" customHeight="1">
      <c r="A138" s="10" t="str">
        <f>IF(Settings!$B$4="","",IF(Settings!$B$4+ROW()-4&lt;EDATE(Settings!$B$4,12),Settings!$B$4+ROW()-4,""))</f>
        <v/>
      </c>
      <c r="B138" s="9" t="str">
        <f t="shared" si="8"/>
        <v/>
      </c>
      <c r="C138" s="10" t="str">
        <f>IF(A138="","",IF(DAY(A138)&gt;=Settings!$B$5,DATE(YEAR(A138),MONTH(A138),Settings!$B$5),DATE(YEAR(EDATE(A138,-1)),MONTH(EDATE(A138,-1)),Settings!$B$5)))</f>
        <v/>
      </c>
      <c r="D138" s="8"/>
      <c r="E138" s="10" t="str">
        <f t="shared" si="9"/>
        <v/>
      </c>
      <c r="F138" s="10" t="str">
        <f>IF(A138="","",K137+Settings!$B$8)</f>
        <v/>
      </c>
      <c r="G138" s="11" t="str">
        <f t="shared" si="10"/>
        <v/>
      </c>
      <c r="H138" s="12" t="str">
        <f>IF(G138="","",G138/Settings!$B$8)</f>
        <v/>
      </c>
      <c r="I138" s="38" t="str">
        <f>IF(H138="","",H138*Settings!$B$11)</f>
        <v/>
      </c>
      <c r="J138" s="40" t="str">
        <f>IF(E138="","",IF(E138="W","Weekly Reset",IF(H138&gt;=1,"Very High Benefit; High Unused-Allowance Risk",IF(H138&gt;Settings!$B$17,"Highly Beneficial; Allowance May Be Underused",IF(H138&gt;=Settings!$B$17,"Highly Beneficial",IF(H138&gt;=0.4,"Moderate",IF(H138&gt;0,"Low Benefit","No Advance Benefit")))))))</f>
        <v/>
      </c>
      <c r="K138" s="10" t="str">
        <f t="shared" si="11"/>
        <v/>
      </c>
    </row>
    <row r="139" spans="1:11" ht="14.25" customHeight="1">
      <c r="A139" s="10" t="str">
        <f>IF(Settings!$B$4="","",IF(Settings!$B$4+ROW()-4&lt;EDATE(Settings!$B$4,12),Settings!$B$4+ROW()-4,""))</f>
        <v/>
      </c>
      <c r="B139" s="9" t="str">
        <f t="shared" si="8"/>
        <v/>
      </c>
      <c r="C139" s="10" t="str">
        <f>IF(A139="","",IF(DAY(A139)&gt;=Settings!$B$5,DATE(YEAR(A139),MONTH(A139),Settings!$B$5),DATE(YEAR(EDATE(A139,-1)),MONTH(EDATE(A139,-1)),Settings!$B$5)))</f>
        <v/>
      </c>
      <c r="D139" s="8"/>
      <c r="E139" s="10" t="str">
        <f t="shared" si="9"/>
        <v/>
      </c>
      <c r="F139" s="10" t="str">
        <f>IF(A139="","",K138+Settings!$B$8)</f>
        <v/>
      </c>
      <c r="G139" s="11" t="str">
        <f t="shared" si="10"/>
        <v/>
      </c>
      <c r="H139" s="12" t="str">
        <f>IF(G139="","",G139/Settings!$B$8)</f>
        <v/>
      </c>
      <c r="I139" s="38" t="str">
        <f>IF(H139="","",H139*Settings!$B$11)</f>
        <v/>
      </c>
      <c r="J139" s="40" t="str">
        <f>IF(E139="","",IF(E139="W","Weekly Reset",IF(H139&gt;=1,"Very High Benefit; High Unused-Allowance Risk",IF(H139&gt;Settings!$B$17,"Highly Beneficial; Allowance May Be Underused",IF(H139&gt;=Settings!$B$17,"Highly Beneficial",IF(H139&gt;=0.4,"Moderate",IF(H139&gt;0,"Low Benefit","No Advance Benefit")))))))</f>
        <v/>
      </c>
      <c r="K139" s="10" t="str">
        <f t="shared" si="11"/>
        <v/>
      </c>
    </row>
    <row r="140" spans="1:11" ht="14.25" customHeight="1">
      <c r="A140" s="10" t="str">
        <f>IF(Settings!$B$4="","",IF(Settings!$B$4+ROW()-4&lt;EDATE(Settings!$B$4,12),Settings!$B$4+ROW()-4,""))</f>
        <v/>
      </c>
      <c r="B140" s="9" t="str">
        <f t="shared" si="8"/>
        <v/>
      </c>
      <c r="C140" s="10" t="str">
        <f>IF(A140="","",IF(DAY(A140)&gt;=Settings!$B$5,DATE(YEAR(A140),MONTH(A140),Settings!$B$5),DATE(YEAR(EDATE(A140,-1)),MONTH(EDATE(A140,-1)),Settings!$B$5)))</f>
        <v/>
      </c>
      <c r="D140" s="8"/>
      <c r="E140" s="10" t="str">
        <f t="shared" si="9"/>
        <v/>
      </c>
      <c r="F140" s="10" t="str">
        <f>IF(A140="","",K139+Settings!$B$8)</f>
        <v/>
      </c>
      <c r="G140" s="11" t="str">
        <f t="shared" si="10"/>
        <v/>
      </c>
      <c r="H140" s="12" t="str">
        <f>IF(G140="","",G140/Settings!$B$8)</f>
        <v/>
      </c>
      <c r="I140" s="38" t="str">
        <f>IF(H140="","",H140*Settings!$B$11)</f>
        <v/>
      </c>
      <c r="J140" s="40" t="str">
        <f>IF(E140="","",IF(E140="W","Weekly Reset",IF(H140&gt;=1,"Very High Benefit; High Unused-Allowance Risk",IF(H140&gt;Settings!$B$17,"Highly Beneficial; Allowance May Be Underused",IF(H140&gt;=Settings!$B$17,"Highly Beneficial",IF(H140&gt;=0.4,"Moderate",IF(H140&gt;0,"Low Benefit","No Advance Benefit")))))))</f>
        <v/>
      </c>
      <c r="K140" s="10" t="str">
        <f t="shared" si="11"/>
        <v/>
      </c>
    </row>
    <row r="141" spans="1:11" ht="14.25" customHeight="1">
      <c r="A141" s="10" t="str">
        <f>IF(Settings!$B$4="","",IF(Settings!$B$4+ROW()-4&lt;EDATE(Settings!$B$4,12),Settings!$B$4+ROW()-4,""))</f>
        <v/>
      </c>
      <c r="B141" s="9" t="str">
        <f t="shared" si="8"/>
        <v/>
      </c>
      <c r="C141" s="10" t="str">
        <f>IF(A141="","",IF(DAY(A141)&gt;=Settings!$B$5,DATE(YEAR(A141),MONTH(A141),Settings!$B$5),DATE(YEAR(EDATE(A141,-1)),MONTH(EDATE(A141,-1)),Settings!$B$5)))</f>
        <v/>
      </c>
      <c r="D141" s="8"/>
      <c r="E141" s="10" t="str">
        <f t="shared" si="9"/>
        <v/>
      </c>
      <c r="F141" s="10" t="str">
        <f>IF(A141="","",K140+Settings!$B$8)</f>
        <v/>
      </c>
      <c r="G141" s="11" t="str">
        <f t="shared" si="10"/>
        <v/>
      </c>
      <c r="H141" s="12" t="str">
        <f>IF(G141="","",G141/Settings!$B$8)</f>
        <v/>
      </c>
      <c r="I141" s="38" t="str">
        <f>IF(H141="","",H141*Settings!$B$11)</f>
        <v/>
      </c>
      <c r="J141" s="40" t="str">
        <f>IF(E141="","",IF(E141="W","Weekly Reset",IF(H141&gt;=1,"Very High Benefit; High Unused-Allowance Risk",IF(H141&gt;Settings!$B$17,"Highly Beneficial; Allowance May Be Underused",IF(H141&gt;=Settings!$B$17,"Highly Beneficial",IF(H141&gt;=0.4,"Moderate",IF(H141&gt;0,"Low Benefit","No Advance Benefit")))))))</f>
        <v/>
      </c>
      <c r="K141" s="10" t="str">
        <f t="shared" si="11"/>
        <v/>
      </c>
    </row>
    <row r="142" spans="1:11" ht="14.25" customHeight="1">
      <c r="A142" s="10" t="str">
        <f>IF(Settings!$B$4="","",IF(Settings!$B$4+ROW()-4&lt;EDATE(Settings!$B$4,12),Settings!$B$4+ROW()-4,""))</f>
        <v/>
      </c>
      <c r="B142" s="9" t="str">
        <f t="shared" si="8"/>
        <v/>
      </c>
      <c r="C142" s="10" t="str">
        <f>IF(A142="","",IF(DAY(A142)&gt;=Settings!$B$5,DATE(YEAR(A142),MONTH(A142),Settings!$B$5),DATE(YEAR(EDATE(A142,-1)),MONTH(EDATE(A142,-1)),Settings!$B$5)))</f>
        <v/>
      </c>
      <c r="D142" s="8"/>
      <c r="E142" s="10" t="str">
        <f t="shared" si="9"/>
        <v/>
      </c>
      <c r="F142" s="10" t="str">
        <f>IF(A142="","",K141+Settings!$B$8)</f>
        <v/>
      </c>
      <c r="G142" s="11" t="str">
        <f t="shared" si="10"/>
        <v/>
      </c>
      <c r="H142" s="12" t="str">
        <f>IF(G142="","",G142/Settings!$B$8)</f>
        <v/>
      </c>
      <c r="I142" s="38" t="str">
        <f>IF(H142="","",H142*Settings!$B$11)</f>
        <v/>
      </c>
      <c r="J142" s="40" t="str">
        <f>IF(E142="","",IF(E142="W","Weekly Reset",IF(H142&gt;=1,"Very High Benefit; High Unused-Allowance Risk",IF(H142&gt;Settings!$B$17,"Highly Beneficial; Allowance May Be Underused",IF(H142&gt;=Settings!$B$17,"Highly Beneficial",IF(H142&gt;=0.4,"Moderate",IF(H142&gt;0,"Low Benefit","No Advance Benefit")))))))</f>
        <v/>
      </c>
      <c r="K142" s="10" t="str">
        <f t="shared" si="11"/>
        <v/>
      </c>
    </row>
    <row r="143" spans="1:11" ht="14.25" customHeight="1">
      <c r="A143" s="10" t="str">
        <f>IF(Settings!$B$4="","",IF(Settings!$B$4+ROW()-4&lt;EDATE(Settings!$B$4,12),Settings!$B$4+ROW()-4,""))</f>
        <v/>
      </c>
      <c r="B143" s="9" t="str">
        <f t="shared" si="8"/>
        <v/>
      </c>
      <c r="C143" s="10" t="str">
        <f>IF(A143="","",IF(DAY(A143)&gt;=Settings!$B$5,DATE(YEAR(A143),MONTH(A143),Settings!$B$5),DATE(YEAR(EDATE(A143,-1)),MONTH(EDATE(A143,-1)),Settings!$B$5)))</f>
        <v/>
      </c>
      <c r="D143" s="8"/>
      <c r="E143" s="10" t="str">
        <f t="shared" si="9"/>
        <v/>
      </c>
      <c r="F143" s="10" t="str">
        <f>IF(A143="","",K142+Settings!$B$8)</f>
        <v/>
      </c>
      <c r="G143" s="11" t="str">
        <f t="shared" si="10"/>
        <v/>
      </c>
      <c r="H143" s="12" t="str">
        <f>IF(G143="","",G143/Settings!$B$8)</f>
        <v/>
      </c>
      <c r="I143" s="38" t="str">
        <f>IF(H143="","",H143*Settings!$B$11)</f>
        <v/>
      </c>
      <c r="J143" s="40" t="str">
        <f>IF(E143="","",IF(E143="W","Weekly Reset",IF(H143&gt;=1,"Very High Benefit; High Unused-Allowance Risk",IF(H143&gt;Settings!$B$17,"Highly Beneficial; Allowance May Be Underused",IF(H143&gt;=Settings!$B$17,"Highly Beneficial",IF(H143&gt;=0.4,"Moderate",IF(H143&gt;0,"Low Benefit","No Advance Benefit")))))))</f>
        <v/>
      </c>
      <c r="K143" s="10" t="str">
        <f t="shared" si="11"/>
        <v/>
      </c>
    </row>
    <row r="144" spans="1:11" ht="14.25" customHeight="1">
      <c r="A144" s="10" t="str">
        <f>IF(Settings!$B$4="","",IF(Settings!$B$4+ROW()-4&lt;EDATE(Settings!$B$4,12),Settings!$B$4+ROW()-4,""))</f>
        <v/>
      </c>
      <c r="B144" s="9" t="str">
        <f t="shared" si="8"/>
        <v/>
      </c>
      <c r="C144" s="10" t="str">
        <f>IF(A144="","",IF(DAY(A144)&gt;=Settings!$B$5,DATE(YEAR(A144),MONTH(A144),Settings!$B$5),DATE(YEAR(EDATE(A144,-1)),MONTH(EDATE(A144,-1)),Settings!$B$5)))</f>
        <v/>
      </c>
      <c r="D144" s="8"/>
      <c r="E144" s="10" t="str">
        <f t="shared" si="9"/>
        <v/>
      </c>
      <c r="F144" s="10" t="str">
        <f>IF(A144="","",K143+Settings!$B$8)</f>
        <v/>
      </c>
      <c r="G144" s="11" t="str">
        <f t="shared" si="10"/>
        <v/>
      </c>
      <c r="H144" s="12" t="str">
        <f>IF(G144="","",G144/Settings!$B$8)</f>
        <v/>
      </c>
      <c r="I144" s="38" t="str">
        <f>IF(H144="","",H144*Settings!$B$11)</f>
        <v/>
      </c>
      <c r="J144" s="40" t="str">
        <f>IF(E144="","",IF(E144="W","Weekly Reset",IF(H144&gt;=1,"Very High Benefit; High Unused-Allowance Risk",IF(H144&gt;Settings!$B$17,"Highly Beneficial; Allowance May Be Underused",IF(H144&gt;=Settings!$B$17,"Highly Beneficial",IF(H144&gt;=0.4,"Moderate",IF(H144&gt;0,"Low Benefit","No Advance Benefit")))))))</f>
        <v/>
      </c>
      <c r="K144" s="10" t="str">
        <f t="shared" si="11"/>
        <v/>
      </c>
    </row>
    <row r="145" spans="1:11" ht="14.25" customHeight="1">
      <c r="A145" s="10" t="str">
        <f>IF(Settings!$B$4="","",IF(Settings!$B$4+ROW()-4&lt;EDATE(Settings!$B$4,12),Settings!$B$4+ROW()-4,""))</f>
        <v/>
      </c>
      <c r="B145" s="9" t="str">
        <f t="shared" si="8"/>
        <v/>
      </c>
      <c r="C145" s="10" t="str">
        <f>IF(A145="","",IF(DAY(A145)&gt;=Settings!$B$5,DATE(YEAR(A145),MONTH(A145),Settings!$B$5),DATE(YEAR(EDATE(A145,-1)),MONTH(EDATE(A145,-1)),Settings!$B$5)))</f>
        <v/>
      </c>
      <c r="D145" s="8"/>
      <c r="E145" s="10" t="str">
        <f t="shared" si="9"/>
        <v/>
      </c>
      <c r="F145" s="10" t="str">
        <f>IF(A145="","",K144+Settings!$B$8)</f>
        <v/>
      </c>
      <c r="G145" s="11" t="str">
        <f t="shared" si="10"/>
        <v/>
      </c>
      <c r="H145" s="12" t="str">
        <f>IF(G145="","",G145/Settings!$B$8)</f>
        <v/>
      </c>
      <c r="I145" s="38" t="str">
        <f>IF(H145="","",H145*Settings!$B$11)</f>
        <v/>
      </c>
      <c r="J145" s="40" t="str">
        <f>IF(E145="","",IF(E145="W","Weekly Reset",IF(H145&gt;=1,"Very High Benefit; High Unused-Allowance Risk",IF(H145&gt;Settings!$B$17,"Highly Beneficial; Allowance May Be Underused",IF(H145&gt;=Settings!$B$17,"Highly Beneficial",IF(H145&gt;=0.4,"Moderate",IF(H145&gt;0,"Low Benefit","No Advance Benefit")))))))</f>
        <v/>
      </c>
      <c r="K145" s="10" t="str">
        <f t="shared" si="11"/>
        <v/>
      </c>
    </row>
    <row r="146" spans="1:11" ht="14.25" customHeight="1">
      <c r="A146" s="10" t="str">
        <f>IF(Settings!$B$4="","",IF(Settings!$B$4+ROW()-4&lt;EDATE(Settings!$B$4,12),Settings!$B$4+ROW()-4,""))</f>
        <v/>
      </c>
      <c r="B146" s="9" t="str">
        <f t="shared" si="8"/>
        <v/>
      </c>
      <c r="C146" s="10" t="str">
        <f>IF(A146="","",IF(DAY(A146)&gt;=Settings!$B$5,DATE(YEAR(A146),MONTH(A146),Settings!$B$5),DATE(YEAR(EDATE(A146,-1)),MONTH(EDATE(A146,-1)),Settings!$B$5)))</f>
        <v/>
      </c>
      <c r="D146" s="8"/>
      <c r="E146" s="10" t="str">
        <f t="shared" si="9"/>
        <v/>
      </c>
      <c r="F146" s="10" t="str">
        <f>IF(A146="","",K145+Settings!$B$8)</f>
        <v/>
      </c>
      <c r="G146" s="11" t="str">
        <f t="shared" si="10"/>
        <v/>
      </c>
      <c r="H146" s="12" t="str">
        <f>IF(G146="","",G146/Settings!$B$8)</f>
        <v/>
      </c>
      <c r="I146" s="38" t="str">
        <f>IF(H146="","",H146*Settings!$B$11)</f>
        <v/>
      </c>
      <c r="J146" s="40" t="str">
        <f>IF(E146="","",IF(E146="W","Weekly Reset",IF(H146&gt;=1,"Very High Benefit; High Unused-Allowance Risk",IF(H146&gt;Settings!$B$17,"Highly Beneficial; Allowance May Be Underused",IF(H146&gt;=Settings!$B$17,"Highly Beneficial",IF(H146&gt;=0.4,"Moderate",IF(H146&gt;0,"Low Benefit","No Advance Benefit")))))))</f>
        <v/>
      </c>
      <c r="K146" s="10" t="str">
        <f t="shared" si="11"/>
        <v/>
      </c>
    </row>
    <row r="147" spans="1:11" ht="14.25" customHeight="1">
      <c r="A147" s="10" t="str">
        <f>IF(Settings!$B$4="","",IF(Settings!$B$4+ROW()-4&lt;EDATE(Settings!$B$4,12),Settings!$B$4+ROW()-4,""))</f>
        <v/>
      </c>
      <c r="B147" s="9" t="str">
        <f t="shared" si="8"/>
        <v/>
      </c>
      <c r="C147" s="10" t="str">
        <f>IF(A147="","",IF(DAY(A147)&gt;=Settings!$B$5,DATE(YEAR(A147),MONTH(A147),Settings!$B$5),DATE(YEAR(EDATE(A147,-1)),MONTH(EDATE(A147,-1)),Settings!$B$5)))</f>
        <v/>
      </c>
      <c r="D147" s="8"/>
      <c r="E147" s="10" t="str">
        <f t="shared" si="9"/>
        <v/>
      </c>
      <c r="F147" s="10" t="str">
        <f>IF(A147="","",K146+Settings!$B$8)</f>
        <v/>
      </c>
      <c r="G147" s="11" t="str">
        <f t="shared" si="10"/>
        <v/>
      </c>
      <c r="H147" s="12" t="str">
        <f>IF(G147="","",G147/Settings!$B$8)</f>
        <v/>
      </c>
      <c r="I147" s="38" t="str">
        <f>IF(H147="","",H147*Settings!$B$11)</f>
        <v/>
      </c>
      <c r="J147" s="40" t="str">
        <f>IF(E147="","",IF(E147="W","Weekly Reset",IF(H147&gt;=1,"Very High Benefit; High Unused-Allowance Risk",IF(H147&gt;Settings!$B$17,"Highly Beneficial; Allowance May Be Underused",IF(H147&gt;=Settings!$B$17,"Highly Beneficial",IF(H147&gt;=0.4,"Moderate",IF(H147&gt;0,"Low Benefit","No Advance Benefit")))))))</f>
        <v/>
      </c>
      <c r="K147" s="10" t="str">
        <f t="shared" si="11"/>
        <v/>
      </c>
    </row>
    <row r="148" spans="1:11" ht="14.25" customHeight="1">
      <c r="A148" s="10" t="str">
        <f>IF(Settings!$B$4="","",IF(Settings!$B$4+ROW()-4&lt;EDATE(Settings!$B$4,12),Settings!$B$4+ROW()-4,""))</f>
        <v/>
      </c>
      <c r="B148" s="9" t="str">
        <f t="shared" si="8"/>
        <v/>
      </c>
      <c r="C148" s="10" t="str">
        <f>IF(A148="","",IF(DAY(A148)&gt;=Settings!$B$5,DATE(YEAR(A148),MONTH(A148),Settings!$B$5),DATE(YEAR(EDATE(A148,-1)),MONTH(EDATE(A148,-1)),Settings!$B$5)))</f>
        <v/>
      </c>
      <c r="D148" s="8"/>
      <c r="E148" s="10" t="str">
        <f t="shared" si="9"/>
        <v/>
      </c>
      <c r="F148" s="10" t="str">
        <f>IF(A148="","",K147+Settings!$B$8)</f>
        <v/>
      </c>
      <c r="G148" s="11" t="str">
        <f t="shared" si="10"/>
        <v/>
      </c>
      <c r="H148" s="12" t="str">
        <f>IF(G148="","",G148/Settings!$B$8)</f>
        <v/>
      </c>
      <c r="I148" s="38" t="str">
        <f>IF(H148="","",H148*Settings!$B$11)</f>
        <v/>
      </c>
      <c r="J148" s="40" t="str">
        <f>IF(E148="","",IF(E148="W","Weekly Reset",IF(H148&gt;=1,"Very High Benefit; High Unused-Allowance Risk",IF(H148&gt;Settings!$B$17,"Highly Beneficial; Allowance May Be Underused",IF(H148&gt;=Settings!$B$17,"Highly Beneficial",IF(H148&gt;=0.4,"Moderate",IF(H148&gt;0,"Low Benefit","No Advance Benefit")))))))</f>
        <v/>
      </c>
      <c r="K148" s="10" t="str">
        <f t="shared" si="11"/>
        <v/>
      </c>
    </row>
    <row r="149" spans="1:11" ht="14.25" customHeight="1">
      <c r="A149" s="10" t="str">
        <f>IF(Settings!$B$4="","",IF(Settings!$B$4+ROW()-4&lt;EDATE(Settings!$B$4,12),Settings!$B$4+ROW()-4,""))</f>
        <v/>
      </c>
      <c r="B149" s="9" t="str">
        <f t="shared" si="8"/>
        <v/>
      </c>
      <c r="C149" s="10" t="str">
        <f>IF(A149="","",IF(DAY(A149)&gt;=Settings!$B$5,DATE(YEAR(A149),MONTH(A149),Settings!$B$5),DATE(YEAR(EDATE(A149,-1)),MONTH(EDATE(A149,-1)),Settings!$B$5)))</f>
        <v/>
      </c>
      <c r="D149" s="8"/>
      <c r="E149" s="10" t="str">
        <f t="shared" si="9"/>
        <v/>
      </c>
      <c r="F149" s="10" t="str">
        <f>IF(A149="","",K148+Settings!$B$8)</f>
        <v/>
      </c>
      <c r="G149" s="11" t="str">
        <f t="shared" si="10"/>
        <v/>
      </c>
      <c r="H149" s="12" t="str">
        <f>IF(G149="","",G149/Settings!$B$8)</f>
        <v/>
      </c>
      <c r="I149" s="38" t="str">
        <f>IF(H149="","",H149*Settings!$B$11)</f>
        <v/>
      </c>
      <c r="J149" s="40" t="str">
        <f>IF(E149="","",IF(E149="W","Weekly Reset",IF(H149&gt;=1,"Very High Benefit; High Unused-Allowance Risk",IF(H149&gt;Settings!$B$17,"Highly Beneficial; Allowance May Be Underused",IF(H149&gt;=Settings!$B$17,"Highly Beneficial",IF(H149&gt;=0.4,"Moderate",IF(H149&gt;0,"Low Benefit","No Advance Benefit")))))))</f>
        <v/>
      </c>
      <c r="K149" s="10" t="str">
        <f t="shared" si="11"/>
        <v/>
      </c>
    </row>
    <row r="150" spans="1:11" ht="14.25" customHeight="1">
      <c r="A150" s="10" t="str">
        <f>IF(Settings!$B$4="","",IF(Settings!$B$4+ROW()-4&lt;EDATE(Settings!$B$4,12),Settings!$B$4+ROW()-4,""))</f>
        <v/>
      </c>
      <c r="B150" s="9" t="str">
        <f t="shared" si="8"/>
        <v/>
      </c>
      <c r="C150" s="10" t="str">
        <f>IF(A150="","",IF(DAY(A150)&gt;=Settings!$B$5,DATE(YEAR(A150),MONTH(A150),Settings!$B$5),DATE(YEAR(EDATE(A150,-1)),MONTH(EDATE(A150,-1)),Settings!$B$5)))</f>
        <v/>
      </c>
      <c r="D150" s="8"/>
      <c r="E150" s="10" t="str">
        <f t="shared" si="9"/>
        <v/>
      </c>
      <c r="F150" s="10" t="str">
        <f>IF(A150="","",K149+Settings!$B$8)</f>
        <v/>
      </c>
      <c r="G150" s="11" t="str">
        <f t="shared" si="10"/>
        <v/>
      </c>
      <c r="H150" s="12" t="str">
        <f>IF(G150="","",G150/Settings!$B$8)</f>
        <v/>
      </c>
      <c r="I150" s="38" t="str">
        <f>IF(H150="","",H150*Settings!$B$11)</f>
        <v/>
      </c>
      <c r="J150" s="40" t="str">
        <f>IF(E150="","",IF(E150="W","Weekly Reset",IF(H150&gt;=1,"Very High Benefit; High Unused-Allowance Risk",IF(H150&gt;Settings!$B$17,"Highly Beneficial; Allowance May Be Underused",IF(H150&gt;=Settings!$B$17,"Highly Beneficial",IF(H150&gt;=0.4,"Moderate",IF(H150&gt;0,"Low Benefit","No Advance Benefit")))))))</f>
        <v/>
      </c>
      <c r="K150" s="10" t="str">
        <f t="shared" si="11"/>
        <v/>
      </c>
    </row>
    <row r="151" spans="1:11" ht="14.25" customHeight="1">
      <c r="A151" s="10" t="str">
        <f>IF(Settings!$B$4="","",IF(Settings!$B$4+ROW()-4&lt;EDATE(Settings!$B$4,12),Settings!$B$4+ROW()-4,""))</f>
        <v/>
      </c>
      <c r="B151" s="9" t="str">
        <f t="shared" si="8"/>
        <v/>
      </c>
      <c r="C151" s="10" t="str">
        <f>IF(A151="","",IF(DAY(A151)&gt;=Settings!$B$5,DATE(YEAR(A151),MONTH(A151),Settings!$B$5),DATE(YEAR(EDATE(A151,-1)),MONTH(EDATE(A151,-1)),Settings!$B$5)))</f>
        <v/>
      </c>
      <c r="D151" s="8"/>
      <c r="E151" s="10" t="str">
        <f t="shared" si="9"/>
        <v/>
      </c>
      <c r="F151" s="10" t="str">
        <f>IF(A151="","",K150+Settings!$B$8)</f>
        <v/>
      </c>
      <c r="G151" s="11" t="str">
        <f t="shared" si="10"/>
        <v/>
      </c>
      <c r="H151" s="12" t="str">
        <f>IF(G151="","",G151/Settings!$B$8)</f>
        <v/>
      </c>
      <c r="I151" s="38" t="str">
        <f>IF(H151="","",H151*Settings!$B$11)</f>
        <v/>
      </c>
      <c r="J151" s="40" t="str">
        <f>IF(E151="","",IF(E151="W","Weekly Reset",IF(H151&gt;=1,"Very High Benefit; High Unused-Allowance Risk",IF(H151&gt;Settings!$B$17,"Highly Beneficial; Allowance May Be Underused",IF(H151&gt;=Settings!$B$17,"Highly Beneficial",IF(H151&gt;=0.4,"Moderate",IF(H151&gt;0,"Low Benefit","No Advance Benefit")))))))</f>
        <v/>
      </c>
      <c r="K151" s="10" t="str">
        <f t="shared" si="11"/>
        <v/>
      </c>
    </row>
    <row r="152" spans="1:11" ht="14.25" customHeight="1">
      <c r="A152" s="10" t="str">
        <f>IF(Settings!$B$4="","",IF(Settings!$B$4+ROW()-4&lt;EDATE(Settings!$B$4,12),Settings!$B$4+ROW()-4,""))</f>
        <v/>
      </c>
      <c r="B152" s="9" t="str">
        <f t="shared" si="8"/>
        <v/>
      </c>
      <c r="C152" s="10" t="str">
        <f>IF(A152="","",IF(DAY(A152)&gt;=Settings!$B$5,DATE(YEAR(A152),MONTH(A152),Settings!$B$5),DATE(YEAR(EDATE(A152,-1)),MONTH(EDATE(A152,-1)),Settings!$B$5)))</f>
        <v/>
      </c>
      <c r="D152" s="8"/>
      <c r="E152" s="10" t="str">
        <f t="shared" si="9"/>
        <v/>
      </c>
      <c r="F152" s="10" t="str">
        <f>IF(A152="","",K151+Settings!$B$8)</f>
        <v/>
      </c>
      <c r="G152" s="11" t="str">
        <f t="shared" si="10"/>
        <v/>
      </c>
      <c r="H152" s="12" t="str">
        <f>IF(G152="","",G152/Settings!$B$8)</f>
        <v/>
      </c>
      <c r="I152" s="38" t="str">
        <f>IF(H152="","",H152*Settings!$B$11)</f>
        <v/>
      </c>
      <c r="J152" s="40" t="str">
        <f>IF(E152="","",IF(E152="W","Weekly Reset",IF(H152&gt;=1,"Very High Benefit; High Unused-Allowance Risk",IF(H152&gt;Settings!$B$17,"Highly Beneficial; Allowance May Be Underused",IF(H152&gt;=Settings!$B$17,"Highly Beneficial",IF(H152&gt;=0.4,"Moderate",IF(H152&gt;0,"Low Benefit","No Advance Benefit")))))))</f>
        <v/>
      </c>
      <c r="K152" s="10" t="str">
        <f t="shared" si="11"/>
        <v/>
      </c>
    </row>
    <row r="153" spans="1:11" ht="14.25" customHeight="1">
      <c r="A153" s="10" t="str">
        <f>IF(Settings!$B$4="","",IF(Settings!$B$4+ROW()-4&lt;EDATE(Settings!$B$4,12),Settings!$B$4+ROW()-4,""))</f>
        <v/>
      </c>
      <c r="B153" s="9" t="str">
        <f t="shared" si="8"/>
        <v/>
      </c>
      <c r="C153" s="10" t="str">
        <f>IF(A153="","",IF(DAY(A153)&gt;=Settings!$B$5,DATE(YEAR(A153),MONTH(A153),Settings!$B$5),DATE(YEAR(EDATE(A153,-1)),MONTH(EDATE(A153,-1)),Settings!$B$5)))</f>
        <v/>
      </c>
      <c r="D153" s="8"/>
      <c r="E153" s="10" t="str">
        <f t="shared" si="9"/>
        <v/>
      </c>
      <c r="F153" s="10" t="str">
        <f>IF(A153="","",K152+Settings!$B$8)</f>
        <v/>
      </c>
      <c r="G153" s="11" t="str">
        <f t="shared" si="10"/>
        <v/>
      </c>
      <c r="H153" s="12" t="str">
        <f>IF(G153="","",G153/Settings!$B$8)</f>
        <v/>
      </c>
      <c r="I153" s="38" t="str">
        <f>IF(H153="","",H153*Settings!$B$11)</f>
        <v/>
      </c>
      <c r="J153" s="40" t="str">
        <f>IF(E153="","",IF(E153="W","Weekly Reset",IF(H153&gt;=1,"Very High Benefit; High Unused-Allowance Risk",IF(H153&gt;Settings!$B$17,"Highly Beneficial; Allowance May Be Underused",IF(H153&gt;=Settings!$B$17,"Highly Beneficial",IF(H153&gt;=0.4,"Moderate",IF(H153&gt;0,"Low Benefit","No Advance Benefit")))))))</f>
        <v/>
      </c>
      <c r="K153" s="10" t="str">
        <f t="shared" si="11"/>
        <v/>
      </c>
    </row>
    <row r="154" spans="1:11" ht="14.25" customHeight="1">
      <c r="A154" s="10" t="str">
        <f>IF(Settings!$B$4="","",IF(Settings!$B$4+ROW()-4&lt;EDATE(Settings!$B$4,12),Settings!$B$4+ROW()-4,""))</f>
        <v/>
      </c>
      <c r="B154" s="9" t="str">
        <f t="shared" si="8"/>
        <v/>
      </c>
      <c r="C154" s="10" t="str">
        <f>IF(A154="","",IF(DAY(A154)&gt;=Settings!$B$5,DATE(YEAR(A154),MONTH(A154),Settings!$B$5),DATE(YEAR(EDATE(A154,-1)),MONTH(EDATE(A154,-1)),Settings!$B$5)))</f>
        <v/>
      </c>
      <c r="D154" s="8"/>
      <c r="E154" s="10" t="str">
        <f t="shared" si="9"/>
        <v/>
      </c>
      <c r="F154" s="10" t="str">
        <f>IF(A154="","",K153+Settings!$B$8)</f>
        <v/>
      </c>
      <c r="G154" s="11" t="str">
        <f t="shared" si="10"/>
        <v/>
      </c>
      <c r="H154" s="12" t="str">
        <f>IF(G154="","",G154/Settings!$B$8)</f>
        <v/>
      </c>
      <c r="I154" s="38" t="str">
        <f>IF(H154="","",H154*Settings!$B$11)</f>
        <v/>
      </c>
      <c r="J154" s="40" t="str">
        <f>IF(E154="","",IF(E154="W","Weekly Reset",IF(H154&gt;=1,"Very High Benefit; High Unused-Allowance Risk",IF(H154&gt;Settings!$B$17,"Highly Beneficial; Allowance May Be Underused",IF(H154&gt;=Settings!$B$17,"Highly Beneficial",IF(H154&gt;=0.4,"Moderate",IF(H154&gt;0,"Low Benefit","No Advance Benefit")))))))</f>
        <v/>
      </c>
      <c r="K154" s="10" t="str">
        <f t="shared" si="11"/>
        <v/>
      </c>
    </row>
    <row r="155" spans="1:11" ht="14.25" customHeight="1">
      <c r="A155" s="10" t="str">
        <f>IF(Settings!$B$4="","",IF(Settings!$B$4+ROW()-4&lt;EDATE(Settings!$B$4,12),Settings!$B$4+ROW()-4,""))</f>
        <v/>
      </c>
      <c r="B155" s="9" t="str">
        <f t="shared" si="8"/>
        <v/>
      </c>
      <c r="C155" s="10" t="str">
        <f>IF(A155="","",IF(DAY(A155)&gt;=Settings!$B$5,DATE(YEAR(A155),MONTH(A155),Settings!$B$5),DATE(YEAR(EDATE(A155,-1)),MONTH(EDATE(A155,-1)),Settings!$B$5)))</f>
        <v/>
      </c>
      <c r="D155" s="8"/>
      <c r="E155" s="10" t="str">
        <f t="shared" si="9"/>
        <v/>
      </c>
      <c r="F155" s="10" t="str">
        <f>IF(A155="","",K154+Settings!$B$8)</f>
        <v/>
      </c>
      <c r="G155" s="11" t="str">
        <f t="shared" si="10"/>
        <v/>
      </c>
      <c r="H155" s="12" t="str">
        <f>IF(G155="","",G155/Settings!$B$8)</f>
        <v/>
      </c>
      <c r="I155" s="38" t="str">
        <f>IF(H155="","",H155*Settings!$B$11)</f>
        <v/>
      </c>
      <c r="J155" s="40" t="str">
        <f>IF(E155="","",IF(E155="W","Weekly Reset",IF(H155&gt;=1,"Very High Benefit; High Unused-Allowance Risk",IF(H155&gt;Settings!$B$17,"Highly Beneficial; Allowance May Be Underused",IF(H155&gt;=Settings!$B$17,"Highly Beneficial",IF(H155&gt;=0.4,"Moderate",IF(H155&gt;0,"Low Benefit","No Advance Benefit")))))))</f>
        <v/>
      </c>
      <c r="K155" s="10" t="str">
        <f t="shared" si="11"/>
        <v/>
      </c>
    </row>
    <row r="156" spans="1:11" ht="14.25" customHeight="1">
      <c r="A156" s="10" t="str">
        <f>IF(Settings!$B$4="","",IF(Settings!$B$4+ROW()-4&lt;EDATE(Settings!$B$4,12),Settings!$B$4+ROW()-4,""))</f>
        <v/>
      </c>
      <c r="B156" s="9" t="str">
        <f t="shared" si="8"/>
        <v/>
      </c>
      <c r="C156" s="10" t="str">
        <f>IF(A156="","",IF(DAY(A156)&gt;=Settings!$B$5,DATE(YEAR(A156),MONTH(A156),Settings!$B$5),DATE(YEAR(EDATE(A156,-1)),MONTH(EDATE(A156,-1)),Settings!$B$5)))</f>
        <v/>
      </c>
      <c r="D156" s="8"/>
      <c r="E156" s="10" t="str">
        <f t="shared" si="9"/>
        <v/>
      </c>
      <c r="F156" s="10" t="str">
        <f>IF(A156="","",K155+Settings!$B$8)</f>
        <v/>
      </c>
      <c r="G156" s="11" t="str">
        <f t="shared" si="10"/>
        <v/>
      </c>
      <c r="H156" s="12" t="str">
        <f>IF(G156="","",G156/Settings!$B$8)</f>
        <v/>
      </c>
      <c r="I156" s="38" t="str">
        <f>IF(H156="","",H156*Settings!$B$11)</f>
        <v/>
      </c>
      <c r="J156" s="40" t="str">
        <f>IF(E156="","",IF(E156="W","Weekly Reset",IF(H156&gt;=1,"Very High Benefit; High Unused-Allowance Risk",IF(H156&gt;Settings!$B$17,"Highly Beneficial; Allowance May Be Underused",IF(H156&gt;=Settings!$B$17,"Highly Beneficial",IF(H156&gt;=0.4,"Moderate",IF(H156&gt;0,"Low Benefit","No Advance Benefit")))))))</f>
        <v/>
      </c>
      <c r="K156" s="10" t="str">
        <f t="shared" si="11"/>
        <v/>
      </c>
    </row>
    <row r="157" spans="1:11" ht="14.25" customHeight="1">
      <c r="A157" s="10" t="str">
        <f>IF(Settings!$B$4="","",IF(Settings!$B$4+ROW()-4&lt;EDATE(Settings!$B$4,12),Settings!$B$4+ROW()-4,""))</f>
        <v/>
      </c>
      <c r="B157" s="9" t="str">
        <f t="shared" si="8"/>
        <v/>
      </c>
      <c r="C157" s="10" t="str">
        <f>IF(A157="","",IF(DAY(A157)&gt;=Settings!$B$5,DATE(YEAR(A157),MONTH(A157),Settings!$B$5),DATE(YEAR(EDATE(A157,-1)),MONTH(EDATE(A157,-1)),Settings!$B$5)))</f>
        <v/>
      </c>
      <c r="D157" s="8"/>
      <c r="E157" s="10" t="str">
        <f t="shared" si="9"/>
        <v/>
      </c>
      <c r="F157" s="10" t="str">
        <f>IF(A157="","",K156+Settings!$B$8)</f>
        <v/>
      </c>
      <c r="G157" s="11" t="str">
        <f t="shared" si="10"/>
        <v/>
      </c>
      <c r="H157" s="12" t="str">
        <f>IF(G157="","",G157/Settings!$B$8)</f>
        <v/>
      </c>
      <c r="I157" s="38" t="str">
        <f>IF(H157="","",H157*Settings!$B$11)</f>
        <v/>
      </c>
      <c r="J157" s="40" t="str">
        <f>IF(E157="","",IF(E157="W","Weekly Reset",IF(H157&gt;=1,"Very High Benefit; High Unused-Allowance Risk",IF(H157&gt;Settings!$B$17,"Highly Beneficial; Allowance May Be Underused",IF(H157&gt;=Settings!$B$17,"Highly Beneficial",IF(H157&gt;=0.4,"Moderate",IF(H157&gt;0,"Low Benefit","No Advance Benefit")))))))</f>
        <v/>
      </c>
      <c r="K157" s="10" t="str">
        <f t="shared" si="11"/>
        <v/>
      </c>
    </row>
    <row r="158" spans="1:11" ht="14.25" customHeight="1">
      <c r="A158" s="10" t="str">
        <f>IF(Settings!$B$4="","",IF(Settings!$B$4+ROW()-4&lt;EDATE(Settings!$B$4,12),Settings!$B$4+ROW()-4,""))</f>
        <v/>
      </c>
      <c r="B158" s="9" t="str">
        <f t="shared" si="8"/>
        <v/>
      </c>
      <c r="C158" s="10" t="str">
        <f>IF(A158="","",IF(DAY(A158)&gt;=Settings!$B$5,DATE(YEAR(A158),MONTH(A158),Settings!$B$5),DATE(YEAR(EDATE(A158,-1)),MONTH(EDATE(A158,-1)),Settings!$B$5)))</f>
        <v/>
      </c>
      <c r="D158" s="8"/>
      <c r="E158" s="10" t="str">
        <f t="shared" si="9"/>
        <v/>
      </c>
      <c r="F158" s="10" t="str">
        <f>IF(A158="","",K157+Settings!$B$8)</f>
        <v/>
      </c>
      <c r="G158" s="11" t="str">
        <f t="shared" si="10"/>
        <v/>
      </c>
      <c r="H158" s="12" t="str">
        <f>IF(G158="","",G158/Settings!$B$8)</f>
        <v/>
      </c>
      <c r="I158" s="38" t="str">
        <f>IF(H158="","",H158*Settings!$B$11)</f>
        <v/>
      </c>
      <c r="J158" s="40" t="str">
        <f>IF(E158="","",IF(E158="W","Weekly Reset",IF(H158&gt;=1,"Very High Benefit; High Unused-Allowance Risk",IF(H158&gt;Settings!$B$17,"Highly Beneficial; Allowance May Be Underused",IF(H158&gt;=Settings!$B$17,"Highly Beneficial",IF(H158&gt;=0.4,"Moderate",IF(H158&gt;0,"Low Benefit","No Advance Benefit")))))))</f>
        <v/>
      </c>
      <c r="K158" s="10" t="str">
        <f t="shared" si="11"/>
        <v/>
      </c>
    </row>
    <row r="159" spans="1:11" ht="14.25" customHeight="1">
      <c r="A159" s="10" t="str">
        <f>IF(Settings!$B$4="","",IF(Settings!$B$4+ROW()-4&lt;EDATE(Settings!$B$4,12),Settings!$B$4+ROW()-4,""))</f>
        <v/>
      </c>
      <c r="B159" s="9" t="str">
        <f t="shared" si="8"/>
        <v/>
      </c>
      <c r="C159" s="10" t="str">
        <f>IF(A159="","",IF(DAY(A159)&gt;=Settings!$B$5,DATE(YEAR(A159),MONTH(A159),Settings!$B$5),DATE(YEAR(EDATE(A159,-1)),MONTH(EDATE(A159,-1)),Settings!$B$5)))</f>
        <v/>
      </c>
      <c r="D159" s="8"/>
      <c r="E159" s="10" t="str">
        <f t="shared" si="9"/>
        <v/>
      </c>
      <c r="F159" s="10" t="str">
        <f>IF(A159="","",K158+Settings!$B$8)</f>
        <v/>
      </c>
      <c r="G159" s="11" t="str">
        <f t="shared" si="10"/>
        <v/>
      </c>
      <c r="H159" s="12" t="str">
        <f>IF(G159="","",G159/Settings!$B$8)</f>
        <v/>
      </c>
      <c r="I159" s="38" t="str">
        <f>IF(H159="","",H159*Settings!$B$11)</f>
        <v/>
      </c>
      <c r="J159" s="40" t="str">
        <f>IF(E159="","",IF(E159="W","Weekly Reset",IF(H159&gt;=1,"Very High Benefit; High Unused-Allowance Risk",IF(H159&gt;Settings!$B$17,"Highly Beneficial; Allowance May Be Underused",IF(H159&gt;=Settings!$B$17,"Highly Beneficial",IF(H159&gt;=0.4,"Moderate",IF(H159&gt;0,"Low Benefit","No Advance Benefit")))))))</f>
        <v/>
      </c>
      <c r="K159" s="10" t="str">
        <f t="shared" si="11"/>
        <v/>
      </c>
    </row>
    <row r="160" spans="1:11" ht="14.25" customHeight="1">
      <c r="A160" s="10" t="str">
        <f>IF(Settings!$B$4="","",IF(Settings!$B$4+ROW()-4&lt;EDATE(Settings!$B$4,12),Settings!$B$4+ROW()-4,""))</f>
        <v/>
      </c>
      <c r="B160" s="9" t="str">
        <f t="shared" si="8"/>
        <v/>
      </c>
      <c r="C160" s="10" t="str">
        <f>IF(A160="","",IF(DAY(A160)&gt;=Settings!$B$5,DATE(YEAR(A160),MONTH(A160),Settings!$B$5),DATE(YEAR(EDATE(A160,-1)),MONTH(EDATE(A160,-1)),Settings!$B$5)))</f>
        <v/>
      </c>
      <c r="D160" s="8"/>
      <c r="E160" s="10" t="str">
        <f t="shared" si="9"/>
        <v/>
      </c>
      <c r="F160" s="10" t="str">
        <f>IF(A160="","",K159+Settings!$B$8)</f>
        <v/>
      </c>
      <c r="G160" s="11" t="str">
        <f t="shared" si="10"/>
        <v/>
      </c>
      <c r="H160" s="12" t="str">
        <f>IF(G160="","",G160/Settings!$B$8)</f>
        <v/>
      </c>
      <c r="I160" s="38" t="str">
        <f>IF(H160="","",H160*Settings!$B$11)</f>
        <v/>
      </c>
      <c r="J160" s="40" t="str">
        <f>IF(E160="","",IF(E160="W","Weekly Reset",IF(H160&gt;=1,"Very High Benefit; High Unused-Allowance Risk",IF(H160&gt;Settings!$B$17,"Highly Beneficial; Allowance May Be Underused",IF(H160&gt;=Settings!$B$17,"Highly Beneficial",IF(H160&gt;=0.4,"Moderate",IF(H160&gt;0,"Low Benefit","No Advance Benefit")))))))</f>
        <v/>
      </c>
      <c r="K160" s="10" t="str">
        <f t="shared" si="11"/>
        <v/>
      </c>
    </row>
    <row r="161" spans="1:11" ht="14.25" customHeight="1">
      <c r="A161" s="10" t="str">
        <f>IF(Settings!$B$4="","",IF(Settings!$B$4+ROW()-4&lt;EDATE(Settings!$B$4,12),Settings!$B$4+ROW()-4,""))</f>
        <v/>
      </c>
      <c r="B161" s="9" t="str">
        <f t="shared" si="8"/>
        <v/>
      </c>
      <c r="C161" s="10" t="str">
        <f>IF(A161="","",IF(DAY(A161)&gt;=Settings!$B$5,DATE(YEAR(A161),MONTH(A161),Settings!$B$5),DATE(YEAR(EDATE(A161,-1)),MONTH(EDATE(A161,-1)),Settings!$B$5)))</f>
        <v/>
      </c>
      <c r="D161" s="8"/>
      <c r="E161" s="10" t="str">
        <f t="shared" si="9"/>
        <v/>
      </c>
      <c r="F161" s="10" t="str">
        <f>IF(A161="","",K160+Settings!$B$8)</f>
        <v/>
      </c>
      <c r="G161" s="11" t="str">
        <f t="shared" si="10"/>
        <v/>
      </c>
      <c r="H161" s="12" t="str">
        <f>IF(G161="","",G161/Settings!$B$8)</f>
        <v/>
      </c>
      <c r="I161" s="38" t="str">
        <f>IF(H161="","",H161*Settings!$B$11)</f>
        <v/>
      </c>
      <c r="J161" s="40" t="str">
        <f>IF(E161="","",IF(E161="W","Weekly Reset",IF(H161&gt;=1,"Very High Benefit; High Unused-Allowance Risk",IF(H161&gt;Settings!$B$17,"Highly Beneficial; Allowance May Be Underused",IF(H161&gt;=Settings!$B$17,"Highly Beneficial",IF(H161&gt;=0.4,"Moderate",IF(H161&gt;0,"Low Benefit","No Advance Benefit")))))))</f>
        <v/>
      </c>
      <c r="K161" s="10" t="str">
        <f t="shared" si="11"/>
        <v/>
      </c>
    </row>
    <row r="162" spans="1:11" ht="14.25" customHeight="1">
      <c r="A162" s="10" t="str">
        <f>IF(Settings!$B$4="","",IF(Settings!$B$4+ROW()-4&lt;EDATE(Settings!$B$4,12),Settings!$B$4+ROW()-4,""))</f>
        <v/>
      </c>
      <c r="B162" s="9" t="str">
        <f t="shared" si="8"/>
        <v/>
      </c>
      <c r="C162" s="10" t="str">
        <f>IF(A162="","",IF(DAY(A162)&gt;=Settings!$B$5,DATE(YEAR(A162),MONTH(A162),Settings!$B$5),DATE(YEAR(EDATE(A162,-1)),MONTH(EDATE(A162,-1)),Settings!$B$5)))</f>
        <v/>
      </c>
      <c r="D162" s="8"/>
      <c r="E162" s="10" t="str">
        <f t="shared" si="9"/>
        <v/>
      </c>
      <c r="F162" s="10" t="str">
        <f>IF(A162="","",K161+Settings!$B$8)</f>
        <v/>
      </c>
      <c r="G162" s="11" t="str">
        <f t="shared" si="10"/>
        <v/>
      </c>
      <c r="H162" s="12" t="str">
        <f>IF(G162="","",G162/Settings!$B$8)</f>
        <v/>
      </c>
      <c r="I162" s="38" t="str">
        <f>IF(H162="","",H162*Settings!$B$11)</f>
        <v/>
      </c>
      <c r="J162" s="40" t="str">
        <f>IF(E162="","",IF(E162="W","Weekly Reset",IF(H162&gt;=1,"Very High Benefit; High Unused-Allowance Risk",IF(H162&gt;Settings!$B$17,"Highly Beneficial; Allowance May Be Underused",IF(H162&gt;=Settings!$B$17,"Highly Beneficial",IF(H162&gt;=0.4,"Moderate",IF(H162&gt;0,"Low Benefit","No Advance Benefit")))))))</f>
        <v/>
      </c>
      <c r="K162" s="10" t="str">
        <f t="shared" si="11"/>
        <v/>
      </c>
    </row>
    <row r="163" spans="1:11" ht="14.25" customHeight="1">
      <c r="A163" s="10" t="str">
        <f>IF(Settings!$B$4="","",IF(Settings!$B$4+ROW()-4&lt;EDATE(Settings!$B$4,12),Settings!$B$4+ROW()-4,""))</f>
        <v/>
      </c>
      <c r="B163" s="9" t="str">
        <f t="shared" si="8"/>
        <v/>
      </c>
      <c r="C163" s="10" t="str">
        <f>IF(A163="","",IF(DAY(A163)&gt;=Settings!$B$5,DATE(YEAR(A163),MONTH(A163),Settings!$B$5),DATE(YEAR(EDATE(A163,-1)),MONTH(EDATE(A163,-1)),Settings!$B$5)))</f>
        <v/>
      </c>
      <c r="D163" s="8"/>
      <c r="E163" s="10" t="str">
        <f t="shared" si="9"/>
        <v/>
      </c>
      <c r="F163" s="10" t="str">
        <f>IF(A163="","",K162+Settings!$B$8)</f>
        <v/>
      </c>
      <c r="G163" s="11" t="str">
        <f t="shared" si="10"/>
        <v/>
      </c>
      <c r="H163" s="12" t="str">
        <f>IF(G163="","",G163/Settings!$B$8)</f>
        <v/>
      </c>
      <c r="I163" s="38" t="str">
        <f>IF(H163="","",H163*Settings!$B$11)</f>
        <v/>
      </c>
      <c r="J163" s="40" t="str">
        <f>IF(E163="","",IF(E163="W","Weekly Reset",IF(H163&gt;=1,"Very High Benefit; High Unused-Allowance Risk",IF(H163&gt;Settings!$B$17,"Highly Beneficial; Allowance May Be Underused",IF(H163&gt;=Settings!$B$17,"Highly Beneficial",IF(H163&gt;=0.4,"Moderate",IF(H163&gt;0,"Low Benefit","No Advance Benefit")))))))</f>
        <v/>
      </c>
      <c r="K163" s="10" t="str">
        <f t="shared" si="11"/>
        <v/>
      </c>
    </row>
    <row r="164" spans="1:11" ht="14.25" customHeight="1">
      <c r="A164" s="10" t="str">
        <f>IF(Settings!$B$4="","",IF(Settings!$B$4+ROW()-4&lt;EDATE(Settings!$B$4,12),Settings!$B$4+ROW()-4,""))</f>
        <v/>
      </c>
      <c r="B164" s="9" t="str">
        <f t="shared" si="8"/>
        <v/>
      </c>
      <c r="C164" s="10" t="str">
        <f>IF(A164="","",IF(DAY(A164)&gt;=Settings!$B$5,DATE(YEAR(A164),MONTH(A164),Settings!$B$5),DATE(YEAR(EDATE(A164,-1)),MONTH(EDATE(A164,-1)),Settings!$B$5)))</f>
        <v/>
      </c>
      <c r="D164" s="8"/>
      <c r="E164" s="10" t="str">
        <f t="shared" si="9"/>
        <v/>
      </c>
      <c r="F164" s="10" t="str">
        <f>IF(A164="","",K163+Settings!$B$8)</f>
        <v/>
      </c>
      <c r="G164" s="11" t="str">
        <f t="shared" si="10"/>
        <v/>
      </c>
      <c r="H164" s="12" t="str">
        <f>IF(G164="","",G164/Settings!$B$8)</f>
        <v/>
      </c>
      <c r="I164" s="38" t="str">
        <f>IF(H164="","",H164*Settings!$B$11)</f>
        <v/>
      </c>
      <c r="J164" s="40" t="str">
        <f>IF(E164="","",IF(E164="W","Weekly Reset",IF(H164&gt;=1,"Very High Benefit; High Unused-Allowance Risk",IF(H164&gt;Settings!$B$17,"Highly Beneficial; Allowance May Be Underused",IF(H164&gt;=Settings!$B$17,"Highly Beneficial",IF(H164&gt;=0.4,"Moderate",IF(H164&gt;0,"Low Benefit","No Advance Benefit")))))))</f>
        <v/>
      </c>
      <c r="K164" s="10" t="str">
        <f t="shared" si="11"/>
        <v/>
      </c>
    </row>
    <row r="165" spans="1:11" ht="14.25" customHeight="1">
      <c r="A165" s="10" t="str">
        <f>IF(Settings!$B$4="","",IF(Settings!$B$4+ROW()-4&lt;EDATE(Settings!$B$4,12),Settings!$B$4+ROW()-4,""))</f>
        <v/>
      </c>
      <c r="B165" s="9" t="str">
        <f t="shared" si="8"/>
        <v/>
      </c>
      <c r="C165" s="10" t="str">
        <f>IF(A165="","",IF(DAY(A165)&gt;=Settings!$B$5,DATE(YEAR(A165),MONTH(A165),Settings!$B$5),DATE(YEAR(EDATE(A165,-1)),MONTH(EDATE(A165,-1)),Settings!$B$5)))</f>
        <v/>
      </c>
      <c r="D165" s="8"/>
      <c r="E165" s="10" t="str">
        <f t="shared" si="9"/>
        <v/>
      </c>
      <c r="F165" s="10" t="str">
        <f>IF(A165="","",K164+Settings!$B$8)</f>
        <v/>
      </c>
      <c r="G165" s="11" t="str">
        <f t="shared" si="10"/>
        <v/>
      </c>
      <c r="H165" s="12" t="str">
        <f>IF(G165="","",G165/Settings!$B$8)</f>
        <v/>
      </c>
      <c r="I165" s="38" t="str">
        <f>IF(H165="","",H165*Settings!$B$11)</f>
        <v/>
      </c>
      <c r="J165" s="40" t="str">
        <f>IF(E165="","",IF(E165="W","Weekly Reset",IF(H165&gt;=1,"Very High Benefit; High Unused-Allowance Risk",IF(H165&gt;Settings!$B$17,"Highly Beneficial; Allowance May Be Underused",IF(H165&gt;=Settings!$B$17,"Highly Beneficial",IF(H165&gt;=0.4,"Moderate",IF(H165&gt;0,"Low Benefit","No Advance Benefit")))))))</f>
        <v/>
      </c>
      <c r="K165" s="10" t="str">
        <f t="shared" si="11"/>
        <v/>
      </c>
    </row>
    <row r="166" spans="1:11" ht="14.25" customHeight="1">
      <c r="A166" s="10" t="str">
        <f>IF(Settings!$B$4="","",IF(Settings!$B$4+ROW()-4&lt;EDATE(Settings!$B$4,12),Settings!$B$4+ROW()-4,""))</f>
        <v/>
      </c>
      <c r="B166" s="9" t="str">
        <f t="shared" si="8"/>
        <v/>
      </c>
      <c r="C166" s="10" t="str">
        <f>IF(A166="","",IF(DAY(A166)&gt;=Settings!$B$5,DATE(YEAR(A166),MONTH(A166),Settings!$B$5),DATE(YEAR(EDATE(A166,-1)),MONTH(EDATE(A166,-1)),Settings!$B$5)))</f>
        <v/>
      </c>
      <c r="D166" s="8"/>
      <c r="E166" s="10" t="str">
        <f t="shared" si="9"/>
        <v/>
      </c>
      <c r="F166" s="10" t="str">
        <f>IF(A166="","",K165+Settings!$B$8)</f>
        <v/>
      </c>
      <c r="G166" s="11" t="str">
        <f t="shared" si="10"/>
        <v/>
      </c>
      <c r="H166" s="12" t="str">
        <f>IF(G166="","",G166/Settings!$B$8)</f>
        <v/>
      </c>
      <c r="I166" s="38" t="str">
        <f>IF(H166="","",H166*Settings!$B$11)</f>
        <v/>
      </c>
      <c r="J166" s="40" t="str">
        <f>IF(E166="","",IF(E166="W","Weekly Reset",IF(H166&gt;=1,"Very High Benefit; High Unused-Allowance Risk",IF(H166&gt;Settings!$B$17,"Highly Beneficial; Allowance May Be Underused",IF(H166&gt;=Settings!$B$17,"Highly Beneficial",IF(H166&gt;=0.4,"Moderate",IF(H166&gt;0,"Low Benefit","No Advance Benefit")))))))</f>
        <v/>
      </c>
      <c r="K166" s="10" t="str">
        <f t="shared" si="11"/>
        <v/>
      </c>
    </row>
    <row r="167" spans="1:11" ht="14.25" customHeight="1">
      <c r="A167" s="10" t="str">
        <f>IF(Settings!$B$4="","",IF(Settings!$B$4+ROW()-4&lt;EDATE(Settings!$B$4,12),Settings!$B$4+ROW()-4,""))</f>
        <v/>
      </c>
      <c r="B167" s="9" t="str">
        <f t="shared" si="8"/>
        <v/>
      </c>
      <c r="C167" s="10" t="str">
        <f>IF(A167="","",IF(DAY(A167)&gt;=Settings!$B$5,DATE(YEAR(A167),MONTH(A167),Settings!$B$5),DATE(YEAR(EDATE(A167,-1)),MONTH(EDATE(A167,-1)),Settings!$B$5)))</f>
        <v/>
      </c>
      <c r="D167" s="8"/>
      <c r="E167" s="10" t="str">
        <f t="shared" si="9"/>
        <v/>
      </c>
      <c r="F167" s="10" t="str">
        <f>IF(A167="","",K166+Settings!$B$8)</f>
        <v/>
      </c>
      <c r="G167" s="11" t="str">
        <f t="shared" si="10"/>
        <v/>
      </c>
      <c r="H167" s="12" t="str">
        <f>IF(G167="","",G167/Settings!$B$8)</f>
        <v/>
      </c>
      <c r="I167" s="38" t="str">
        <f>IF(H167="","",H167*Settings!$B$11)</f>
        <v/>
      </c>
      <c r="J167" s="40" t="str">
        <f>IF(E167="","",IF(E167="W","Weekly Reset",IF(H167&gt;=1,"Very High Benefit; High Unused-Allowance Risk",IF(H167&gt;Settings!$B$17,"Highly Beneficial; Allowance May Be Underused",IF(H167&gt;=Settings!$B$17,"Highly Beneficial",IF(H167&gt;=0.4,"Moderate",IF(H167&gt;0,"Low Benefit","No Advance Benefit")))))))</f>
        <v/>
      </c>
      <c r="K167" s="10" t="str">
        <f t="shared" si="11"/>
        <v/>
      </c>
    </row>
    <row r="168" spans="1:11" ht="14.25" customHeight="1">
      <c r="A168" s="10" t="str">
        <f>IF(Settings!$B$4="","",IF(Settings!$B$4+ROW()-4&lt;EDATE(Settings!$B$4,12),Settings!$B$4+ROW()-4,""))</f>
        <v/>
      </c>
      <c r="B168" s="9" t="str">
        <f t="shared" si="8"/>
        <v/>
      </c>
      <c r="C168" s="10" t="str">
        <f>IF(A168="","",IF(DAY(A168)&gt;=Settings!$B$5,DATE(YEAR(A168),MONTH(A168),Settings!$B$5),DATE(YEAR(EDATE(A168,-1)),MONTH(EDATE(A168,-1)),Settings!$B$5)))</f>
        <v/>
      </c>
      <c r="D168" s="8"/>
      <c r="E168" s="10" t="str">
        <f t="shared" si="9"/>
        <v/>
      </c>
      <c r="F168" s="10" t="str">
        <f>IF(A168="","",K167+Settings!$B$8)</f>
        <v/>
      </c>
      <c r="G168" s="11" t="str">
        <f t="shared" si="10"/>
        <v/>
      </c>
      <c r="H168" s="12" t="str">
        <f>IF(G168="","",G168/Settings!$B$8)</f>
        <v/>
      </c>
      <c r="I168" s="38" t="str">
        <f>IF(H168="","",H168*Settings!$B$11)</f>
        <v/>
      </c>
      <c r="J168" s="40" t="str">
        <f>IF(E168="","",IF(E168="W","Weekly Reset",IF(H168&gt;=1,"Very High Benefit; High Unused-Allowance Risk",IF(H168&gt;Settings!$B$17,"Highly Beneficial; Allowance May Be Underused",IF(H168&gt;=Settings!$B$17,"Highly Beneficial",IF(H168&gt;=0.4,"Moderate",IF(H168&gt;0,"Low Benefit","No Advance Benefit")))))))</f>
        <v/>
      </c>
      <c r="K168" s="10" t="str">
        <f t="shared" si="11"/>
        <v/>
      </c>
    </row>
    <row r="169" spans="1:11" ht="14.25" customHeight="1">
      <c r="A169" s="10" t="str">
        <f>IF(Settings!$B$4="","",IF(Settings!$B$4+ROW()-4&lt;EDATE(Settings!$B$4,12),Settings!$B$4+ROW()-4,""))</f>
        <v/>
      </c>
      <c r="B169" s="9" t="str">
        <f t="shared" si="8"/>
        <v/>
      </c>
      <c r="C169" s="10" t="str">
        <f>IF(A169="","",IF(DAY(A169)&gt;=Settings!$B$5,DATE(YEAR(A169),MONTH(A169),Settings!$B$5),DATE(YEAR(EDATE(A169,-1)),MONTH(EDATE(A169,-1)),Settings!$B$5)))</f>
        <v/>
      </c>
      <c r="D169" s="8"/>
      <c r="E169" s="10" t="str">
        <f t="shared" si="9"/>
        <v/>
      </c>
      <c r="F169" s="10" t="str">
        <f>IF(A169="","",K168+Settings!$B$8)</f>
        <v/>
      </c>
      <c r="G169" s="11" t="str">
        <f t="shared" si="10"/>
        <v/>
      </c>
      <c r="H169" s="12" t="str">
        <f>IF(G169="","",G169/Settings!$B$8)</f>
        <v/>
      </c>
      <c r="I169" s="38" t="str">
        <f>IF(H169="","",H169*Settings!$B$11)</f>
        <v/>
      </c>
      <c r="J169" s="40" t="str">
        <f>IF(E169="","",IF(E169="W","Weekly Reset",IF(H169&gt;=1,"Very High Benefit; High Unused-Allowance Risk",IF(H169&gt;Settings!$B$17,"Highly Beneficial; Allowance May Be Underused",IF(H169&gt;=Settings!$B$17,"Highly Beneficial",IF(H169&gt;=0.4,"Moderate",IF(H169&gt;0,"Low Benefit","No Advance Benefit")))))))</f>
        <v/>
      </c>
      <c r="K169" s="10" t="str">
        <f t="shared" si="11"/>
        <v/>
      </c>
    </row>
    <row r="170" spans="1:11" ht="14.25" customHeight="1">
      <c r="A170" s="10" t="str">
        <f>IF(Settings!$B$4="","",IF(Settings!$B$4+ROW()-4&lt;EDATE(Settings!$B$4,12),Settings!$B$4+ROW()-4,""))</f>
        <v/>
      </c>
      <c r="B170" s="9" t="str">
        <f t="shared" si="8"/>
        <v/>
      </c>
      <c r="C170" s="10" t="str">
        <f>IF(A170="","",IF(DAY(A170)&gt;=Settings!$B$5,DATE(YEAR(A170),MONTH(A170),Settings!$B$5),DATE(YEAR(EDATE(A170,-1)),MONTH(EDATE(A170,-1)),Settings!$B$5)))</f>
        <v/>
      </c>
      <c r="D170" s="8"/>
      <c r="E170" s="10" t="str">
        <f t="shared" si="9"/>
        <v/>
      </c>
      <c r="F170" s="10" t="str">
        <f>IF(A170="","",K169+Settings!$B$8)</f>
        <v/>
      </c>
      <c r="G170" s="11" t="str">
        <f t="shared" si="10"/>
        <v/>
      </c>
      <c r="H170" s="12" t="str">
        <f>IF(G170="","",G170/Settings!$B$8)</f>
        <v/>
      </c>
      <c r="I170" s="38" t="str">
        <f>IF(H170="","",H170*Settings!$B$11)</f>
        <v/>
      </c>
      <c r="J170" s="40" t="str">
        <f>IF(E170="","",IF(E170="W","Weekly Reset",IF(H170&gt;=1,"Very High Benefit; High Unused-Allowance Risk",IF(H170&gt;Settings!$B$17,"Highly Beneficial; Allowance May Be Underused",IF(H170&gt;=Settings!$B$17,"Highly Beneficial",IF(H170&gt;=0.4,"Moderate",IF(H170&gt;0,"Low Benefit","No Advance Benefit")))))))</f>
        <v/>
      </c>
      <c r="K170" s="10" t="str">
        <f t="shared" si="11"/>
        <v/>
      </c>
    </row>
    <row r="171" spans="1:11" ht="14.25" customHeight="1">
      <c r="A171" s="10" t="str">
        <f>IF(Settings!$B$4="","",IF(Settings!$B$4+ROW()-4&lt;EDATE(Settings!$B$4,12),Settings!$B$4+ROW()-4,""))</f>
        <v/>
      </c>
      <c r="B171" s="9" t="str">
        <f t="shared" si="8"/>
        <v/>
      </c>
      <c r="C171" s="10" t="str">
        <f>IF(A171="","",IF(DAY(A171)&gt;=Settings!$B$5,DATE(YEAR(A171),MONTH(A171),Settings!$B$5),DATE(YEAR(EDATE(A171,-1)),MONTH(EDATE(A171,-1)),Settings!$B$5)))</f>
        <v/>
      </c>
      <c r="D171" s="8"/>
      <c r="E171" s="10" t="str">
        <f t="shared" si="9"/>
        <v/>
      </c>
      <c r="F171" s="10" t="str">
        <f>IF(A171="","",K170+Settings!$B$8)</f>
        <v/>
      </c>
      <c r="G171" s="11" t="str">
        <f t="shared" si="10"/>
        <v/>
      </c>
      <c r="H171" s="12" t="str">
        <f>IF(G171="","",G171/Settings!$B$8)</f>
        <v/>
      </c>
      <c r="I171" s="38" t="str">
        <f>IF(H171="","",H171*Settings!$B$11)</f>
        <v/>
      </c>
      <c r="J171" s="40" t="str">
        <f>IF(E171="","",IF(E171="W","Weekly Reset",IF(H171&gt;=1,"Very High Benefit; High Unused-Allowance Risk",IF(H171&gt;Settings!$B$17,"Highly Beneficial; Allowance May Be Underused",IF(H171&gt;=Settings!$B$17,"Highly Beneficial",IF(H171&gt;=0.4,"Moderate",IF(H171&gt;0,"Low Benefit","No Advance Benefit")))))))</f>
        <v/>
      </c>
      <c r="K171" s="10" t="str">
        <f t="shared" si="11"/>
        <v/>
      </c>
    </row>
    <row r="172" spans="1:11" ht="14.25" customHeight="1">
      <c r="A172" s="10" t="str">
        <f>IF(Settings!$B$4="","",IF(Settings!$B$4+ROW()-4&lt;EDATE(Settings!$B$4,12),Settings!$B$4+ROW()-4,""))</f>
        <v/>
      </c>
      <c r="B172" s="9" t="str">
        <f t="shared" si="8"/>
        <v/>
      </c>
      <c r="C172" s="10" t="str">
        <f>IF(A172="","",IF(DAY(A172)&gt;=Settings!$B$5,DATE(YEAR(A172),MONTH(A172),Settings!$B$5),DATE(YEAR(EDATE(A172,-1)),MONTH(EDATE(A172,-1)),Settings!$B$5)))</f>
        <v/>
      </c>
      <c r="D172" s="8"/>
      <c r="E172" s="10" t="str">
        <f t="shared" si="9"/>
        <v/>
      </c>
      <c r="F172" s="10" t="str">
        <f>IF(A172="","",K171+Settings!$B$8)</f>
        <v/>
      </c>
      <c r="G172" s="11" t="str">
        <f t="shared" si="10"/>
        <v/>
      </c>
      <c r="H172" s="12" t="str">
        <f>IF(G172="","",G172/Settings!$B$8)</f>
        <v/>
      </c>
      <c r="I172" s="38" t="str">
        <f>IF(H172="","",H172*Settings!$B$11)</f>
        <v/>
      </c>
      <c r="J172" s="40" t="str">
        <f>IF(E172="","",IF(E172="W","Weekly Reset",IF(H172&gt;=1,"Very High Benefit; High Unused-Allowance Risk",IF(H172&gt;Settings!$B$17,"Highly Beneficial; Allowance May Be Underused",IF(H172&gt;=Settings!$B$17,"Highly Beneficial",IF(H172&gt;=0.4,"Moderate",IF(H172&gt;0,"Low Benefit","No Advance Benefit")))))))</f>
        <v/>
      </c>
      <c r="K172" s="10" t="str">
        <f t="shared" si="11"/>
        <v/>
      </c>
    </row>
    <row r="173" spans="1:11" ht="14.25" customHeight="1">
      <c r="A173" s="10" t="str">
        <f>IF(Settings!$B$4="","",IF(Settings!$B$4+ROW()-4&lt;EDATE(Settings!$B$4,12),Settings!$B$4+ROW()-4,""))</f>
        <v/>
      </c>
      <c r="B173" s="9" t="str">
        <f t="shared" si="8"/>
        <v/>
      </c>
      <c r="C173" s="10" t="str">
        <f>IF(A173="","",IF(DAY(A173)&gt;=Settings!$B$5,DATE(YEAR(A173),MONTH(A173),Settings!$B$5),DATE(YEAR(EDATE(A173,-1)),MONTH(EDATE(A173,-1)),Settings!$B$5)))</f>
        <v/>
      </c>
      <c r="D173" s="8"/>
      <c r="E173" s="10" t="str">
        <f t="shared" si="9"/>
        <v/>
      </c>
      <c r="F173" s="10" t="str">
        <f>IF(A173="","",K172+Settings!$B$8)</f>
        <v/>
      </c>
      <c r="G173" s="11" t="str">
        <f t="shared" si="10"/>
        <v/>
      </c>
      <c r="H173" s="12" t="str">
        <f>IF(G173="","",G173/Settings!$B$8)</f>
        <v/>
      </c>
      <c r="I173" s="38" t="str">
        <f>IF(H173="","",H173*Settings!$B$11)</f>
        <v/>
      </c>
      <c r="J173" s="40" t="str">
        <f>IF(E173="","",IF(E173="W","Weekly Reset",IF(H173&gt;=1,"Very High Benefit; High Unused-Allowance Risk",IF(H173&gt;Settings!$B$17,"Highly Beneficial; Allowance May Be Underused",IF(H173&gt;=Settings!$B$17,"Highly Beneficial",IF(H173&gt;=0.4,"Moderate",IF(H173&gt;0,"Low Benefit","No Advance Benefit")))))))</f>
        <v/>
      </c>
      <c r="K173" s="10" t="str">
        <f t="shared" si="11"/>
        <v/>
      </c>
    </row>
    <row r="174" spans="1:11" ht="14.25" customHeight="1">
      <c r="A174" s="10" t="str">
        <f>IF(Settings!$B$4="","",IF(Settings!$B$4+ROW()-4&lt;EDATE(Settings!$B$4,12),Settings!$B$4+ROW()-4,""))</f>
        <v/>
      </c>
      <c r="B174" s="9" t="str">
        <f t="shared" si="8"/>
        <v/>
      </c>
      <c r="C174" s="10" t="str">
        <f>IF(A174="","",IF(DAY(A174)&gt;=Settings!$B$5,DATE(YEAR(A174),MONTH(A174),Settings!$B$5),DATE(YEAR(EDATE(A174,-1)),MONTH(EDATE(A174,-1)),Settings!$B$5)))</f>
        <v/>
      </c>
      <c r="D174" s="8"/>
      <c r="E174" s="10" t="str">
        <f t="shared" si="9"/>
        <v/>
      </c>
      <c r="F174" s="10" t="str">
        <f>IF(A174="","",K173+Settings!$B$8)</f>
        <v/>
      </c>
      <c r="G174" s="11" t="str">
        <f t="shared" si="10"/>
        <v/>
      </c>
      <c r="H174" s="12" t="str">
        <f>IF(G174="","",G174/Settings!$B$8)</f>
        <v/>
      </c>
      <c r="I174" s="38" t="str">
        <f>IF(H174="","",H174*Settings!$B$11)</f>
        <v/>
      </c>
      <c r="J174" s="40" t="str">
        <f>IF(E174="","",IF(E174="W","Weekly Reset",IF(H174&gt;=1,"Very High Benefit; High Unused-Allowance Risk",IF(H174&gt;Settings!$B$17,"Highly Beneficial; Allowance May Be Underused",IF(H174&gt;=Settings!$B$17,"Highly Beneficial",IF(H174&gt;=0.4,"Moderate",IF(H174&gt;0,"Low Benefit","No Advance Benefit")))))))</f>
        <v/>
      </c>
      <c r="K174" s="10" t="str">
        <f t="shared" si="11"/>
        <v/>
      </c>
    </row>
    <row r="175" spans="1:11" ht="14.25" customHeight="1">
      <c r="A175" s="10" t="str">
        <f>IF(Settings!$B$4="","",IF(Settings!$B$4+ROW()-4&lt;EDATE(Settings!$B$4,12),Settings!$B$4+ROW()-4,""))</f>
        <v/>
      </c>
      <c r="B175" s="9" t="str">
        <f t="shared" si="8"/>
        <v/>
      </c>
      <c r="C175" s="10" t="str">
        <f>IF(A175="","",IF(DAY(A175)&gt;=Settings!$B$5,DATE(YEAR(A175),MONTH(A175),Settings!$B$5),DATE(YEAR(EDATE(A175,-1)),MONTH(EDATE(A175,-1)),Settings!$B$5)))</f>
        <v/>
      </c>
      <c r="D175" s="8"/>
      <c r="E175" s="10" t="str">
        <f t="shared" si="9"/>
        <v/>
      </c>
      <c r="F175" s="10" t="str">
        <f>IF(A175="","",K174+Settings!$B$8)</f>
        <v/>
      </c>
      <c r="G175" s="11" t="str">
        <f t="shared" si="10"/>
        <v/>
      </c>
      <c r="H175" s="12" t="str">
        <f>IF(G175="","",G175/Settings!$B$8)</f>
        <v/>
      </c>
      <c r="I175" s="38" t="str">
        <f>IF(H175="","",H175*Settings!$B$11)</f>
        <v/>
      </c>
      <c r="J175" s="40" t="str">
        <f>IF(E175="","",IF(E175="W","Weekly Reset",IF(H175&gt;=1,"Very High Benefit; High Unused-Allowance Risk",IF(H175&gt;Settings!$B$17,"Highly Beneficial; Allowance May Be Underused",IF(H175&gt;=Settings!$B$17,"Highly Beneficial",IF(H175&gt;=0.4,"Moderate",IF(H175&gt;0,"Low Benefit","No Advance Benefit")))))))</f>
        <v/>
      </c>
      <c r="K175" s="10" t="str">
        <f t="shared" si="11"/>
        <v/>
      </c>
    </row>
    <row r="176" spans="1:11" ht="14.25" customHeight="1">
      <c r="A176" s="10" t="str">
        <f>IF(Settings!$B$4="","",IF(Settings!$B$4+ROW()-4&lt;EDATE(Settings!$B$4,12),Settings!$B$4+ROW()-4,""))</f>
        <v/>
      </c>
      <c r="B176" s="9" t="str">
        <f t="shared" si="8"/>
        <v/>
      </c>
      <c r="C176" s="10" t="str">
        <f>IF(A176="","",IF(DAY(A176)&gt;=Settings!$B$5,DATE(YEAR(A176),MONTH(A176),Settings!$B$5),DATE(YEAR(EDATE(A176,-1)),MONTH(EDATE(A176,-1)),Settings!$B$5)))</f>
        <v/>
      </c>
      <c r="D176" s="8"/>
      <c r="E176" s="10" t="str">
        <f t="shared" si="9"/>
        <v/>
      </c>
      <c r="F176" s="10" t="str">
        <f>IF(A176="","",K175+Settings!$B$8)</f>
        <v/>
      </c>
      <c r="G176" s="11" t="str">
        <f t="shared" si="10"/>
        <v/>
      </c>
      <c r="H176" s="12" t="str">
        <f>IF(G176="","",G176/Settings!$B$8)</f>
        <v/>
      </c>
      <c r="I176" s="38" t="str">
        <f>IF(H176="","",H176*Settings!$B$11)</f>
        <v/>
      </c>
      <c r="J176" s="40" t="str">
        <f>IF(E176="","",IF(E176="W","Weekly Reset",IF(H176&gt;=1,"Very High Benefit; High Unused-Allowance Risk",IF(H176&gt;Settings!$B$17,"Highly Beneficial; Allowance May Be Underused",IF(H176&gt;=Settings!$B$17,"Highly Beneficial",IF(H176&gt;=0.4,"Moderate",IF(H176&gt;0,"Low Benefit","No Advance Benefit")))))))</f>
        <v/>
      </c>
      <c r="K176" s="10" t="str">
        <f t="shared" si="11"/>
        <v/>
      </c>
    </row>
    <row r="177" spans="1:11" ht="14.25" customHeight="1">
      <c r="A177" s="10" t="str">
        <f>IF(Settings!$B$4="","",IF(Settings!$B$4+ROW()-4&lt;EDATE(Settings!$B$4,12),Settings!$B$4+ROW()-4,""))</f>
        <v/>
      </c>
      <c r="B177" s="9" t="str">
        <f t="shared" si="8"/>
        <v/>
      </c>
      <c r="C177" s="10" t="str">
        <f>IF(A177="","",IF(DAY(A177)&gt;=Settings!$B$5,DATE(YEAR(A177),MONTH(A177),Settings!$B$5),DATE(YEAR(EDATE(A177,-1)),MONTH(EDATE(A177,-1)),Settings!$B$5)))</f>
        <v/>
      </c>
      <c r="D177" s="8"/>
      <c r="E177" s="10" t="str">
        <f t="shared" si="9"/>
        <v/>
      </c>
      <c r="F177" s="10" t="str">
        <f>IF(A177="","",K176+Settings!$B$8)</f>
        <v/>
      </c>
      <c r="G177" s="11" t="str">
        <f t="shared" si="10"/>
        <v/>
      </c>
      <c r="H177" s="12" t="str">
        <f>IF(G177="","",G177/Settings!$B$8)</f>
        <v/>
      </c>
      <c r="I177" s="38" t="str">
        <f>IF(H177="","",H177*Settings!$B$11)</f>
        <v/>
      </c>
      <c r="J177" s="40" t="str">
        <f>IF(E177="","",IF(E177="W","Weekly Reset",IF(H177&gt;=1,"Very High Benefit; High Unused-Allowance Risk",IF(H177&gt;Settings!$B$17,"Highly Beneficial; Allowance May Be Underused",IF(H177&gt;=Settings!$B$17,"Highly Beneficial",IF(H177&gt;=0.4,"Moderate",IF(H177&gt;0,"Low Benefit","No Advance Benefit")))))))</f>
        <v/>
      </c>
      <c r="K177" s="10" t="str">
        <f t="shared" si="11"/>
        <v/>
      </c>
    </row>
    <row r="178" spans="1:11" ht="14.25" customHeight="1">
      <c r="A178" s="10" t="str">
        <f>IF(Settings!$B$4="","",IF(Settings!$B$4+ROW()-4&lt;EDATE(Settings!$B$4,12),Settings!$B$4+ROW()-4,""))</f>
        <v/>
      </c>
      <c r="B178" s="9" t="str">
        <f t="shared" si="8"/>
        <v/>
      </c>
      <c r="C178" s="10" t="str">
        <f>IF(A178="","",IF(DAY(A178)&gt;=Settings!$B$5,DATE(YEAR(A178),MONTH(A178),Settings!$B$5),DATE(YEAR(EDATE(A178,-1)),MONTH(EDATE(A178,-1)),Settings!$B$5)))</f>
        <v/>
      </c>
      <c r="D178" s="8"/>
      <c r="E178" s="10" t="str">
        <f t="shared" si="9"/>
        <v/>
      </c>
      <c r="F178" s="10" t="str">
        <f>IF(A178="","",K177+Settings!$B$8)</f>
        <v/>
      </c>
      <c r="G178" s="11" t="str">
        <f t="shared" si="10"/>
        <v/>
      </c>
      <c r="H178" s="12" t="str">
        <f>IF(G178="","",G178/Settings!$B$8)</f>
        <v/>
      </c>
      <c r="I178" s="38" t="str">
        <f>IF(H178="","",H178*Settings!$B$11)</f>
        <v/>
      </c>
      <c r="J178" s="40" t="str">
        <f>IF(E178="","",IF(E178="W","Weekly Reset",IF(H178&gt;=1,"Very High Benefit; High Unused-Allowance Risk",IF(H178&gt;Settings!$B$17,"Highly Beneficial; Allowance May Be Underused",IF(H178&gt;=Settings!$B$17,"Highly Beneficial",IF(H178&gt;=0.4,"Moderate",IF(H178&gt;0,"Low Benefit","No Advance Benefit")))))))</f>
        <v/>
      </c>
      <c r="K178" s="10" t="str">
        <f t="shared" si="11"/>
        <v/>
      </c>
    </row>
    <row r="179" spans="1:11" ht="14.25" customHeight="1">
      <c r="A179" s="10" t="str">
        <f>IF(Settings!$B$4="","",IF(Settings!$B$4+ROW()-4&lt;EDATE(Settings!$B$4,12),Settings!$B$4+ROW()-4,""))</f>
        <v/>
      </c>
      <c r="B179" s="9" t="str">
        <f t="shared" si="8"/>
        <v/>
      </c>
      <c r="C179" s="10" t="str">
        <f>IF(A179="","",IF(DAY(A179)&gt;=Settings!$B$5,DATE(YEAR(A179),MONTH(A179),Settings!$B$5),DATE(YEAR(EDATE(A179,-1)),MONTH(EDATE(A179,-1)),Settings!$B$5)))</f>
        <v/>
      </c>
      <c r="D179" s="8"/>
      <c r="E179" s="10" t="str">
        <f t="shared" si="9"/>
        <v/>
      </c>
      <c r="F179" s="10" t="str">
        <f>IF(A179="","",K178+Settings!$B$8)</f>
        <v/>
      </c>
      <c r="G179" s="11" t="str">
        <f t="shared" si="10"/>
        <v/>
      </c>
      <c r="H179" s="12" t="str">
        <f>IF(G179="","",G179/Settings!$B$8)</f>
        <v/>
      </c>
      <c r="I179" s="38" t="str">
        <f>IF(H179="","",H179*Settings!$B$11)</f>
        <v/>
      </c>
      <c r="J179" s="40" t="str">
        <f>IF(E179="","",IF(E179="W","Weekly Reset",IF(H179&gt;=1,"Very High Benefit; High Unused-Allowance Risk",IF(H179&gt;Settings!$B$17,"Highly Beneficial; Allowance May Be Underused",IF(H179&gt;=Settings!$B$17,"Highly Beneficial",IF(H179&gt;=0.4,"Moderate",IF(H179&gt;0,"Low Benefit","No Advance Benefit")))))))</f>
        <v/>
      </c>
      <c r="K179" s="10" t="str">
        <f t="shared" si="11"/>
        <v/>
      </c>
    </row>
    <row r="180" spans="1:11" ht="14.25" customHeight="1">
      <c r="A180" s="10" t="str">
        <f>IF(Settings!$B$4="","",IF(Settings!$B$4+ROW()-4&lt;EDATE(Settings!$B$4,12),Settings!$B$4+ROW()-4,""))</f>
        <v/>
      </c>
      <c r="B180" s="9" t="str">
        <f t="shared" si="8"/>
        <v/>
      </c>
      <c r="C180" s="10" t="str">
        <f>IF(A180="","",IF(DAY(A180)&gt;=Settings!$B$5,DATE(YEAR(A180),MONTH(A180),Settings!$B$5),DATE(YEAR(EDATE(A180,-1)),MONTH(EDATE(A180,-1)),Settings!$B$5)))</f>
        <v/>
      </c>
      <c r="D180" s="8"/>
      <c r="E180" s="10" t="str">
        <f t="shared" si="9"/>
        <v/>
      </c>
      <c r="F180" s="10" t="str">
        <f>IF(A180="","",K179+Settings!$B$8)</f>
        <v/>
      </c>
      <c r="G180" s="11" t="str">
        <f t="shared" si="10"/>
        <v/>
      </c>
      <c r="H180" s="12" t="str">
        <f>IF(G180="","",G180/Settings!$B$8)</f>
        <v/>
      </c>
      <c r="I180" s="38" t="str">
        <f>IF(H180="","",H180*Settings!$B$11)</f>
        <v/>
      </c>
      <c r="J180" s="40" t="str">
        <f>IF(E180="","",IF(E180="W","Weekly Reset",IF(H180&gt;=1,"Very High Benefit; High Unused-Allowance Risk",IF(H180&gt;Settings!$B$17,"Highly Beneficial; Allowance May Be Underused",IF(H180&gt;=Settings!$B$17,"Highly Beneficial",IF(H180&gt;=0.4,"Moderate",IF(H180&gt;0,"Low Benefit","No Advance Benefit")))))))</f>
        <v/>
      </c>
      <c r="K180" s="10" t="str">
        <f t="shared" si="11"/>
        <v/>
      </c>
    </row>
    <row r="181" spans="1:11" ht="14.25" customHeight="1">
      <c r="A181" s="10" t="str">
        <f>IF(Settings!$B$4="","",IF(Settings!$B$4+ROW()-4&lt;EDATE(Settings!$B$4,12),Settings!$B$4+ROW()-4,""))</f>
        <v/>
      </c>
      <c r="B181" s="9" t="str">
        <f t="shared" si="8"/>
        <v/>
      </c>
      <c r="C181" s="10" t="str">
        <f>IF(A181="","",IF(DAY(A181)&gt;=Settings!$B$5,DATE(YEAR(A181),MONTH(A181),Settings!$B$5),DATE(YEAR(EDATE(A181,-1)),MONTH(EDATE(A181,-1)),Settings!$B$5)))</f>
        <v/>
      </c>
      <c r="D181" s="8"/>
      <c r="E181" s="10" t="str">
        <f t="shared" si="9"/>
        <v/>
      </c>
      <c r="F181" s="10" t="str">
        <f>IF(A181="","",K180+Settings!$B$8)</f>
        <v/>
      </c>
      <c r="G181" s="11" t="str">
        <f t="shared" si="10"/>
        <v/>
      </c>
      <c r="H181" s="12" t="str">
        <f>IF(G181="","",G181/Settings!$B$8)</f>
        <v/>
      </c>
      <c r="I181" s="38" t="str">
        <f>IF(H181="","",H181*Settings!$B$11)</f>
        <v/>
      </c>
      <c r="J181" s="40" t="str">
        <f>IF(E181="","",IF(E181="W","Weekly Reset",IF(H181&gt;=1,"Very High Benefit; High Unused-Allowance Risk",IF(H181&gt;Settings!$B$17,"Highly Beneficial; Allowance May Be Underused",IF(H181&gt;=Settings!$B$17,"Highly Beneficial",IF(H181&gt;=0.4,"Moderate",IF(H181&gt;0,"Low Benefit","No Advance Benefit")))))))</f>
        <v/>
      </c>
      <c r="K181" s="10" t="str">
        <f t="shared" si="11"/>
        <v/>
      </c>
    </row>
    <row r="182" spans="1:11" ht="14.25" customHeight="1">
      <c r="A182" s="10" t="str">
        <f>IF(Settings!$B$4="","",IF(Settings!$B$4+ROW()-4&lt;EDATE(Settings!$B$4,12),Settings!$B$4+ROW()-4,""))</f>
        <v/>
      </c>
      <c r="B182" s="9" t="str">
        <f t="shared" si="8"/>
        <v/>
      </c>
      <c r="C182" s="10" t="str">
        <f>IF(A182="","",IF(DAY(A182)&gt;=Settings!$B$5,DATE(YEAR(A182),MONTH(A182),Settings!$B$5),DATE(YEAR(EDATE(A182,-1)),MONTH(EDATE(A182,-1)),Settings!$B$5)))</f>
        <v/>
      </c>
      <c r="D182" s="8"/>
      <c r="E182" s="10" t="str">
        <f t="shared" si="9"/>
        <v/>
      </c>
      <c r="F182" s="10" t="str">
        <f>IF(A182="","",K181+Settings!$B$8)</f>
        <v/>
      </c>
      <c r="G182" s="11" t="str">
        <f t="shared" si="10"/>
        <v/>
      </c>
      <c r="H182" s="12" t="str">
        <f>IF(G182="","",G182/Settings!$B$8)</f>
        <v/>
      </c>
      <c r="I182" s="38" t="str">
        <f>IF(H182="","",H182*Settings!$B$11)</f>
        <v/>
      </c>
      <c r="J182" s="40" t="str">
        <f>IF(E182="","",IF(E182="W","Weekly Reset",IF(H182&gt;=1,"Very High Benefit; High Unused-Allowance Risk",IF(H182&gt;Settings!$B$17,"Highly Beneficial; Allowance May Be Underused",IF(H182&gt;=Settings!$B$17,"Highly Beneficial",IF(H182&gt;=0.4,"Moderate",IF(H182&gt;0,"Low Benefit","No Advance Benefit")))))))</f>
        <v/>
      </c>
      <c r="K182" s="10" t="str">
        <f t="shared" si="11"/>
        <v/>
      </c>
    </row>
    <row r="183" spans="1:11" ht="14.25" customHeight="1">
      <c r="A183" s="10" t="str">
        <f>IF(Settings!$B$4="","",IF(Settings!$B$4+ROW()-4&lt;EDATE(Settings!$B$4,12),Settings!$B$4+ROW()-4,""))</f>
        <v/>
      </c>
      <c r="B183" s="9" t="str">
        <f t="shared" si="8"/>
        <v/>
      </c>
      <c r="C183" s="10" t="str">
        <f>IF(A183="","",IF(DAY(A183)&gt;=Settings!$B$5,DATE(YEAR(A183),MONTH(A183),Settings!$B$5),DATE(YEAR(EDATE(A183,-1)),MONTH(EDATE(A183,-1)),Settings!$B$5)))</f>
        <v/>
      </c>
      <c r="D183" s="8"/>
      <c r="E183" s="10" t="str">
        <f t="shared" si="9"/>
        <v/>
      </c>
      <c r="F183" s="10" t="str">
        <f>IF(A183="","",K182+Settings!$B$8)</f>
        <v/>
      </c>
      <c r="G183" s="11" t="str">
        <f t="shared" si="10"/>
        <v/>
      </c>
      <c r="H183" s="12" t="str">
        <f>IF(G183="","",G183/Settings!$B$8)</f>
        <v/>
      </c>
      <c r="I183" s="38" t="str">
        <f>IF(H183="","",H183*Settings!$B$11)</f>
        <v/>
      </c>
      <c r="J183" s="40" t="str">
        <f>IF(E183="","",IF(E183="W","Weekly Reset",IF(H183&gt;=1,"Very High Benefit; High Unused-Allowance Risk",IF(H183&gt;Settings!$B$17,"Highly Beneficial; Allowance May Be Underused",IF(H183&gt;=Settings!$B$17,"Highly Beneficial",IF(H183&gt;=0.4,"Moderate",IF(H183&gt;0,"Low Benefit","No Advance Benefit")))))))</f>
        <v/>
      </c>
      <c r="K183" s="10" t="str">
        <f t="shared" si="11"/>
        <v/>
      </c>
    </row>
    <row r="184" spans="1:11" ht="14.25" customHeight="1">
      <c r="A184" s="10" t="str">
        <f>IF(Settings!$B$4="","",IF(Settings!$B$4+ROW()-4&lt;EDATE(Settings!$B$4,12),Settings!$B$4+ROW()-4,""))</f>
        <v/>
      </c>
      <c r="B184" s="9" t="str">
        <f t="shared" si="8"/>
        <v/>
      </c>
      <c r="C184" s="10" t="str">
        <f>IF(A184="","",IF(DAY(A184)&gt;=Settings!$B$5,DATE(YEAR(A184),MONTH(A184),Settings!$B$5),DATE(YEAR(EDATE(A184,-1)),MONTH(EDATE(A184,-1)),Settings!$B$5)))</f>
        <v/>
      </c>
      <c r="D184" s="8"/>
      <c r="E184" s="10" t="str">
        <f t="shared" si="9"/>
        <v/>
      </c>
      <c r="F184" s="10" t="str">
        <f>IF(A184="","",K183+Settings!$B$8)</f>
        <v/>
      </c>
      <c r="G184" s="11" t="str">
        <f t="shared" si="10"/>
        <v/>
      </c>
      <c r="H184" s="12" t="str">
        <f>IF(G184="","",G184/Settings!$B$8)</f>
        <v/>
      </c>
      <c r="I184" s="38" t="str">
        <f>IF(H184="","",H184*Settings!$B$11)</f>
        <v/>
      </c>
      <c r="J184" s="40" t="str">
        <f>IF(E184="","",IF(E184="W","Weekly Reset",IF(H184&gt;=1,"Very High Benefit; High Unused-Allowance Risk",IF(H184&gt;Settings!$B$17,"Highly Beneficial; Allowance May Be Underused",IF(H184&gt;=Settings!$B$17,"Highly Beneficial",IF(H184&gt;=0.4,"Moderate",IF(H184&gt;0,"Low Benefit","No Advance Benefit")))))))</f>
        <v/>
      </c>
      <c r="K184" s="10" t="str">
        <f t="shared" si="11"/>
        <v/>
      </c>
    </row>
    <row r="185" spans="1:11" ht="14.25" customHeight="1">
      <c r="A185" s="10" t="str">
        <f>IF(Settings!$B$4="","",IF(Settings!$B$4+ROW()-4&lt;EDATE(Settings!$B$4,12),Settings!$B$4+ROW()-4,""))</f>
        <v/>
      </c>
      <c r="B185" s="9" t="str">
        <f t="shared" si="8"/>
        <v/>
      </c>
      <c r="C185" s="10" t="str">
        <f>IF(A185="","",IF(DAY(A185)&gt;=Settings!$B$5,DATE(YEAR(A185),MONTH(A185),Settings!$B$5),DATE(YEAR(EDATE(A185,-1)),MONTH(EDATE(A185,-1)),Settings!$B$5)))</f>
        <v/>
      </c>
      <c r="D185" s="8"/>
      <c r="E185" s="10" t="str">
        <f t="shared" si="9"/>
        <v/>
      </c>
      <c r="F185" s="10" t="str">
        <f>IF(A185="","",K184+Settings!$B$8)</f>
        <v/>
      </c>
      <c r="G185" s="11" t="str">
        <f t="shared" si="10"/>
        <v/>
      </c>
      <c r="H185" s="12" t="str">
        <f>IF(G185="","",G185/Settings!$B$8)</f>
        <v/>
      </c>
      <c r="I185" s="38" t="str">
        <f>IF(H185="","",H185*Settings!$B$11)</f>
        <v/>
      </c>
      <c r="J185" s="40" t="str">
        <f>IF(E185="","",IF(E185="W","Weekly Reset",IF(H185&gt;=1,"Very High Benefit; High Unused-Allowance Risk",IF(H185&gt;Settings!$B$17,"Highly Beneficial; Allowance May Be Underused",IF(H185&gt;=Settings!$B$17,"Highly Beneficial",IF(H185&gt;=0.4,"Moderate",IF(H185&gt;0,"Low Benefit","No Advance Benefit")))))))</f>
        <v/>
      </c>
      <c r="K185" s="10" t="str">
        <f t="shared" si="11"/>
        <v/>
      </c>
    </row>
    <row r="186" spans="1:11" ht="14.25" customHeight="1">
      <c r="A186" s="10" t="str">
        <f>IF(Settings!$B$4="","",IF(Settings!$B$4+ROW()-4&lt;EDATE(Settings!$B$4,12),Settings!$B$4+ROW()-4,""))</f>
        <v/>
      </c>
      <c r="B186" s="9" t="str">
        <f t="shared" si="8"/>
        <v/>
      </c>
      <c r="C186" s="10" t="str">
        <f>IF(A186="","",IF(DAY(A186)&gt;=Settings!$B$5,DATE(YEAR(A186),MONTH(A186),Settings!$B$5),DATE(YEAR(EDATE(A186,-1)),MONTH(EDATE(A186,-1)),Settings!$B$5)))</f>
        <v/>
      </c>
      <c r="D186" s="8"/>
      <c r="E186" s="10" t="str">
        <f t="shared" si="9"/>
        <v/>
      </c>
      <c r="F186" s="10" t="str">
        <f>IF(A186="","",K185+Settings!$B$8)</f>
        <v/>
      </c>
      <c r="G186" s="11" t="str">
        <f t="shared" si="10"/>
        <v/>
      </c>
      <c r="H186" s="12" t="str">
        <f>IF(G186="","",G186/Settings!$B$8)</f>
        <v/>
      </c>
      <c r="I186" s="38" t="str">
        <f>IF(H186="","",H186*Settings!$B$11)</f>
        <v/>
      </c>
      <c r="J186" s="40" t="str">
        <f>IF(E186="","",IF(E186="W","Weekly Reset",IF(H186&gt;=1,"Very High Benefit; High Unused-Allowance Risk",IF(H186&gt;Settings!$B$17,"Highly Beneficial; Allowance May Be Underused",IF(H186&gt;=Settings!$B$17,"Highly Beneficial",IF(H186&gt;=0.4,"Moderate",IF(H186&gt;0,"Low Benefit","No Advance Benefit")))))))</f>
        <v/>
      </c>
      <c r="K186" s="10" t="str">
        <f t="shared" si="11"/>
        <v/>
      </c>
    </row>
    <row r="187" spans="1:11" ht="14.25" customHeight="1">
      <c r="A187" s="10" t="str">
        <f>IF(Settings!$B$4="","",IF(Settings!$B$4+ROW()-4&lt;EDATE(Settings!$B$4,12),Settings!$B$4+ROW()-4,""))</f>
        <v/>
      </c>
      <c r="B187" s="9" t="str">
        <f t="shared" si="8"/>
        <v/>
      </c>
      <c r="C187" s="10" t="str">
        <f>IF(A187="","",IF(DAY(A187)&gt;=Settings!$B$5,DATE(YEAR(A187),MONTH(A187),Settings!$B$5),DATE(YEAR(EDATE(A187,-1)),MONTH(EDATE(A187,-1)),Settings!$B$5)))</f>
        <v/>
      </c>
      <c r="D187" s="8"/>
      <c r="E187" s="10" t="str">
        <f t="shared" si="9"/>
        <v/>
      </c>
      <c r="F187" s="10" t="str">
        <f>IF(A187="","",K186+Settings!$B$8)</f>
        <v/>
      </c>
      <c r="G187" s="11" t="str">
        <f t="shared" si="10"/>
        <v/>
      </c>
      <c r="H187" s="12" t="str">
        <f>IF(G187="","",G187/Settings!$B$8)</f>
        <v/>
      </c>
      <c r="I187" s="38" t="str">
        <f>IF(H187="","",H187*Settings!$B$11)</f>
        <v/>
      </c>
      <c r="J187" s="40" t="str">
        <f>IF(E187="","",IF(E187="W","Weekly Reset",IF(H187&gt;=1,"Very High Benefit; High Unused-Allowance Risk",IF(H187&gt;Settings!$B$17,"Highly Beneficial; Allowance May Be Underused",IF(H187&gt;=Settings!$B$17,"Highly Beneficial",IF(H187&gt;=0.4,"Moderate",IF(H187&gt;0,"Low Benefit","No Advance Benefit")))))))</f>
        <v/>
      </c>
      <c r="K187" s="10" t="str">
        <f t="shared" si="11"/>
        <v/>
      </c>
    </row>
    <row r="188" spans="1:11" ht="14.25" customHeight="1">
      <c r="A188" s="10" t="str">
        <f>IF(Settings!$B$4="","",IF(Settings!$B$4+ROW()-4&lt;EDATE(Settings!$B$4,12),Settings!$B$4+ROW()-4,""))</f>
        <v/>
      </c>
      <c r="B188" s="9" t="str">
        <f t="shared" si="8"/>
        <v/>
      </c>
      <c r="C188" s="10" t="str">
        <f>IF(A188="","",IF(DAY(A188)&gt;=Settings!$B$5,DATE(YEAR(A188),MONTH(A188),Settings!$B$5),DATE(YEAR(EDATE(A188,-1)),MONTH(EDATE(A188,-1)),Settings!$B$5)))</f>
        <v/>
      </c>
      <c r="D188" s="8"/>
      <c r="E188" s="10" t="str">
        <f t="shared" si="9"/>
        <v/>
      </c>
      <c r="F188" s="10" t="str">
        <f>IF(A188="","",K187+Settings!$B$8)</f>
        <v/>
      </c>
      <c r="G188" s="11" t="str">
        <f t="shared" si="10"/>
        <v/>
      </c>
      <c r="H188" s="12" t="str">
        <f>IF(G188="","",G188/Settings!$B$8)</f>
        <v/>
      </c>
      <c r="I188" s="38" t="str">
        <f>IF(H188="","",H188*Settings!$B$11)</f>
        <v/>
      </c>
      <c r="J188" s="40" t="str">
        <f>IF(E188="","",IF(E188="W","Weekly Reset",IF(H188&gt;=1,"Very High Benefit; High Unused-Allowance Risk",IF(H188&gt;Settings!$B$17,"Highly Beneficial; Allowance May Be Underused",IF(H188&gt;=Settings!$B$17,"Highly Beneficial",IF(H188&gt;=0.4,"Moderate",IF(H188&gt;0,"Low Benefit","No Advance Benefit")))))))</f>
        <v/>
      </c>
      <c r="K188" s="10" t="str">
        <f t="shared" si="11"/>
        <v/>
      </c>
    </row>
    <row r="189" spans="1:11" ht="14.25" customHeight="1">
      <c r="A189" s="10" t="str">
        <f>IF(Settings!$B$4="","",IF(Settings!$B$4+ROW()-4&lt;EDATE(Settings!$B$4,12),Settings!$B$4+ROW()-4,""))</f>
        <v/>
      </c>
      <c r="B189" s="9" t="str">
        <f t="shared" si="8"/>
        <v/>
      </c>
      <c r="C189" s="10" t="str">
        <f>IF(A189="","",IF(DAY(A189)&gt;=Settings!$B$5,DATE(YEAR(A189),MONTH(A189),Settings!$B$5),DATE(YEAR(EDATE(A189,-1)),MONTH(EDATE(A189,-1)),Settings!$B$5)))</f>
        <v/>
      </c>
      <c r="D189" s="8"/>
      <c r="E189" s="10" t="str">
        <f t="shared" si="9"/>
        <v/>
      </c>
      <c r="F189" s="10" t="str">
        <f>IF(A189="","",K188+Settings!$B$8)</f>
        <v/>
      </c>
      <c r="G189" s="11" t="str">
        <f t="shared" si="10"/>
        <v/>
      </c>
      <c r="H189" s="12" t="str">
        <f>IF(G189="","",G189/Settings!$B$8)</f>
        <v/>
      </c>
      <c r="I189" s="38" t="str">
        <f>IF(H189="","",H189*Settings!$B$11)</f>
        <v/>
      </c>
      <c r="J189" s="40" t="str">
        <f>IF(E189="","",IF(E189="W","Weekly Reset",IF(H189&gt;=1,"Very High Benefit; High Unused-Allowance Risk",IF(H189&gt;Settings!$B$17,"Highly Beneficial; Allowance May Be Underused",IF(H189&gt;=Settings!$B$17,"Highly Beneficial",IF(H189&gt;=0.4,"Moderate",IF(H189&gt;0,"Low Benefit","No Advance Benefit")))))))</f>
        <v/>
      </c>
      <c r="K189" s="10" t="str">
        <f t="shared" si="11"/>
        <v/>
      </c>
    </row>
    <row r="190" spans="1:11" ht="14.25" customHeight="1">
      <c r="A190" s="10" t="str">
        <f>IF(Settings!$B$4="","",IF(Settings!$B$4+ROW()-4&lt;EDATE(Settings!$B$4,12),Settings!$B$4+ROW()-4,""))</f>
        <v/>
      </c>
      <c r="B190" s="9" t="str">
        <f t="shared" si="8"/>
        <v/>
      </c>
      <c r="C190" s="10" t="str">
        <f>IF(A190="","",IF(DAY(A190)&gt;=Settings!$B$5,DATE(YEAR(A190),MONTH(A190),Settings!$B$5),DATE(YEAR(EDATE(A190,-1)),MONTH(EDATE(A190,-1)),Settings!$B$5)))</f>
        <v/>
      </c>
      <c r="D190" s="8"/>
      <c r="E190" s="10" t="str">
        <f t="shared" si="9"/>
        <v/>
      </c>
      <c r="F190" s="10" t="str">
        <f>IF(A190="","",K189+Settings!$B$8)</f>
        <v/>
      </c>
      <c r="G190" s="11" t="str">
        <f t="shared" si="10"/>
        <v/>
      </c>
      <c r="H190" s="12" t="str">
        <f>IF(G190="","",G190/Settings!$B$8)</f>
        <v/>
      </c>
      <c r="I190" s="38" t="str">
        <f>IF(H190="","",H190*Settings!$B$11)</f>
        <v/>
      </c>
      <c r="J190" s="40" t="str">
        <f>IF(E190="","",IF(E190="W","Weekly Reset",IF(H190&gt;=1,"Very High Benefit; High Unused-Allowance Risk",IF(H190&gt;Settings!$B$17,"Highly Beneficial; Allowance May Be Underused",IF(H190&gt;=Settings!$B$17,"Highly Beneficial",IF(H190&gt;=0.4,"Moderate",IF(H190&gt;0,"Low Benefit","No Advance Benefit")))))))</f>
        <v/>
      </c>
      <c r="K190" s="10" t="str">
        <f t="shared" si="11"/>
        <v/>
      </c>
    </row>
    <row r="191" spans="1:11" ht="14.25" customHeight="1">
      <c r="A191" s="10" t="str">
        <f>IF(Settings!$B$4="","",IF(Settings!$B$4+ROW()-4&lt;EDATE(Settings!$B$4,12),Settings!$B$4+ROW()-4,""))</f>
        <v/>
      </c>
      <c r="B191" s="9" t="str">
        <f t="shared" si="8"/>
        <v/>
      </c>
      <c r="C191" s="10" t="str">
        <f>IF(A191="","",IF(DAY(A191)&gt;=Settings!$B$5,DATE(YEAR(A191),MONTH(A191),Settings!$B$5),DATE(YEAR(EDATE(A191,-1)),MONTH(EDATE(A191,-1)),Settings!$B$5)))</f>
        <v/>
      </c>
      <c r="D191" s="8"/>
      <c r="E191" s="10" t="str">
        <f t="shared" si="9"/>
        <v/>
      </c>
      <c r="F191" s="10" t="str">
        <f>IF(A191="","",K190+Settings!$B$8)</f>
        <v/>
      </c>
      <c r="G191" s="11" t="str">
        <f t="shared" si="10"/>
        <v/>
      </c>
      <c r="H191" s="12" t="str">
        <f>IF(G191="","",G191/Settings!$B$8)</f>
        <v/>
      </c>
      <c r="I191" s="38" t="str">
        <f>IF(H191="","",H191*Settings!$B$11)</f>
        <v/>
      </c>
      <c r="J191" s="40" t="str">
        <f>IF(E191="","",IF(E191="W","Weekly Reset",IF(H191&gt;=1,"Very High Benefit; High Unused-Allowance Risk",IF(H191&gt;Settings!$B$17,"Highly Beneficial; Allowance May Be Underused",IF(H191&gt;=Settings!$B$17,"Highly Beneficial",IF(H191&gt;=0.4,"Moderate",IF(H191&gt;0,"Low Benefit","No Advance Benefit")))))))</f>
        <v/>
      </c>
      <c r="K191" s="10" t="str">
        <f t="shared" si="11"/>
        <v/>
      </c>
    </row>
    <row r="192" spans="1:11" ht="14.25" customHeight="1">
      <c r="A192" s="10" t="str">
        <f>IF(Settings!$B$4="","",IF(Settings!$B$4+ROW()-4&lt;EDATE(Settings!$B$4,12),Settings!$B$4+ROW()-4,""))</f>
        <v/>
      </c>
      <c r="B192" s="9" t="str">
        <f t="shared" si="8"/>
        <v/>
      </c>
      <c r="C192" s="10" t="str">
        <f>IF(A192="","",IF(DAY(A192)&gt;=Settings!$B$5,DATE(YEAR(A192),MONTH(A192),Settings!$B$5),DATE(YEAR(EDATE(A192,-1)),MONTH(EDATE(A192,-1)),Settings!$B$5)))</f>
        <v/>
      </c>
      <c r="D192" s="8"/>
      <c r="E192" s="10" t="str">
        <f t="shared" si="9"/>
        <v/>
      </c>
      <c r="F192" s="10" t="str">
        <f>IF(A192="","",K191+Settings!$B$8)</f>
        <v/>
      </c>
      <c r="G192" s="11" t="str">
        <f t="shared" si="10"/>
        <v/>
      </c>
      <c r="H192" s="12" t="str">
        <f>IF(G192="","",G192/Settings!$B$8)</f>
        <v/>
      </c>
      <c r="I192" s="38" t="str">
        <f>IF(H192="","",H192*Settings!$B$11)</f>
        <v/>
      </c>
      <c r="J192" s="40" t="str">
        <f>IF(E192="","",IF(E192="W","Weekly Reset",IF(H192&gt;=1,"Very High Benefit; High Unused-Allowance Risk",IF(H192&gt;Settings!$B$17,"Highly Beneficial; Allowance May Be Underused",IF(H192&gt;=Settings!$B$17,"Highly Beneficial",IF(H192&gt;=0.4,"Moderate",IF(H192&gt;0,"Low Benefit","No Advance Benefit")))))))</f>
        <v/>
      </c>
      <c r="K192" s="10" t="str">
        <f t="shared" si="11"/>
        <v/>
      </c>
    </row>
    <row r="193" spans="1:11" ht="14.25" customHeight="1">
      <c r="A193" s="10" t="str">
        <f>IF(Settings!$B$4="","",IF(Settings!$B$4+ROW()-4&lt;EDATE(Settings!$B$4,12),Settings!$B$4+ROW()-4,""))</f>
        <v/>
      </c>
      <c r="B193" s="9" t="str">
        <f t="shared" si="8"/>
        <v/>
      </c>
      <c r="C193" s="10" t="str">
        <f>IF(A193="","",IF(DAY(A193)&gt;=Settings!$B$5,DATE(YEAR(A193),MONTH(A193),Settings!$B$5),DATE(YEAR(EDATE(A193,-1)),MONTH(EDATE(A193,-1)),Settings!$B$5)))</f>
        <v/>
      </c>
      <c r="D193" s="8"/>
      <c r="E193" s="10" t="str">
        <f t="shared" si="9"/>
        <v/>
      </c>
      <c r="F193" s="10" t="str">
        <f>IF(A193="","",K192+Settings!$B$8)</f>
        <v/>
      </c>
      <c r="G193" s="11" t="str">
        <f t="shared" si="10"/>
        <v/>
      </c>
      <c r="H193" s="12" t="str">
        <f>IF(G193="","",G193/Settings!$B$8)</f>
        <v/>
      </c>
      <c r="I193" s="38" t="str">
        <f>IF(H193="","",H193*Settings!$B$11)</f>
        <v/>
      </c>
      <c r="J193" s="40" t="str">
        <f>IF(E193="","",IF(E193="W","Weekly Reset",IF(H193&gt;=1,"Very High Benefit; High Unused-Allowance Risk",IF(H193&gt;Settings!$B$17,"Highly Beneficial; Allowance May Be Underused",IF(H193&gt;=Settings!$B$17,"Highly Beneficial",IF(H193&gt;=0.4,"Moderate",IF(H193&gt;0,"Low Benefit","No Advance Benefit")))))))</f>
        <v/>
      </c>
      <c r="K193" s="10" t="str">
        <f t="shared" si="11"/>
        <v/>
      </c>
    </row>
    <row r="194" spans="1:11" ht="14.25" customHeight="1">
      <c r="A194" s="10" t="str">
        <f>IF(Settings!$B$4="","",IF(Settings!$B$4+ROW()-4&lt;EDATE(Settings!$B$4,12),Settings!$B$4+ROW()-4,""))</f>
        <v/>
      </c>
      <c r="B194" s="9" t="str">
        <f t="shared" si="8"/>
        <v/>
      </c>
      <c r="C194" s="10" t="str">
        <f>IF(A194="","",IF(DAY(A194)&gt;=Settings!$B$5,DATE(YEAR(A194),MONTH(A194),Settings!$B$5),DATE(YEAR(EDATE(A194,-1)),MONTH(EDATE(A194,-1)),Settings!$B$5)))</f>
        <v/>
      </c>
      <c r="D194" s="8"/>
      <c r="E194" s="10" t="str">
        <f t="shared" si="9"/>
        <v/>
      </c>
      <c r="F194" s="10" t="str">
        <f>IF(A194="","",K193+Settings!$B$8)</f>
        <v/>
      </c>
      <c r="G194" s="11" t="str">
        <f t="shared" si="10"/>
        <v/>
      </c>
      <c r="H194" s="12" t="str">
        <f>IF(G194="","",G194/Settings!$B$8)</f>
        <v/>
      </c>
      <c r="I194" s="38" t="str">
        <f>IF(H194="","",H194*Settings!$B$11)</f>
        <v/>
      </c>
      <c r="J194" s="40" t="str">
        <f>IF(E194="","",IF(E194="W","Weekly Reset",IF(H194&gt;=1,"Very High Benefit; High Unused-Allowance Risk",IF(H194&gt;Settings!$B$17,"Highly Beneficial; Allowance May Be Underused",IF(H194&gt;=Settings!$B$17,"Highly Beneficial",IF(H194&gt;=0.4,"Moderate",IF(H194&gt;0,"Low Benefit","No Advance Benefit")))))))</f>
        <v/>
      </c>
      <c r="K194" s="10" t="str">
        <f t="shared" si="11"/>
        <v/>
      </c>
    </row>
    <row r="195" spans="1:11" ht="14.25" customHeight="1">
      <c r="A195" s="10" t="str">
        <f>IF(Settings!$B$4="","",IF(Settings!$B$4+ROW()-4&lt;EDATE(Settings!$B$4,12),Settings!$B$4+ROW()-4,""))</f>
        <v/>
      </c>
      <c r="B195" s="9" t="str">
        <f t="shared" si="8"/>
        <v/>
      </c>
      <c r="C195" s="10" t="str">
        <f>IF(A195="","",IF(DAY(A195)&gt;=Settings!$B$5,DATE(YEAR(A195),MONTH(A195),Settings!$B$5),DATE(YEAR(EDATE(A195,-1)),MONTH(EDATE(A195,-1)),Settings!$B$5)))</f>
        <v/>
      </c>
      <c r="D195" s="8"/>
      <c r="E195" s="10" t="str">
        <f t="shared" si="9"/>
        <v/>
      </c>
      <c r="F195" s="10" t="str">
        <f>IF(A195="","",K194+Settings!$B$8)</f>
        <v/>
      </c>
      <c r="G195" s="11" t="str">
        <f t="shared" si="10"/>
        <v/>
      </c>
      <c r="H195" s="12" t="str">
        <f>IF(G195="","",G195/Settings!$B$8)</f>
        <v/>
      </c>
      <c r="I195" s="38" t="str">
        <f>IF(H195="","",H195*Settings!$B$11)</f>
        <v/>
      </c>
      <c r="J195" s="40" t="str">
        <f>IF(E195="","",IF(E195="W","Weekly Reset",IF(H195&gt;=1,"Very High Benefit; High Unused-Allowance Risk",IF(H195&gt;Settings!$B$17,"Highly Beneficial; Allowance May Be Underused",IF(H195&gt;=Settings!$B$17,"Highly Beneficial",IF(H195&gt;=0.4,"Moderate",IF(H195&gt;0,"Low Benefit","No Advance Benefit")))))))</f>
        <v/>
      </c>
      <c r="K195" s="10" t="str">
        <f t="shared" si="11"/>
        <v/>
      </c>
    </row>
    <row r="196" spans="1:11" ht="14.25" customHeight="1">
      <c r="A196" s="10" t="str">
        <f>IF(Settings!$B$4="","",IF(Settings!$B$4+ROW()-4&lt;EDATE(Settings!$B$4,12),Settings!$B$4+ROW()-4,""))</f>
        <v/>
      </c>
      <c r="B196" s="9" t="str">
        <f t="shared" ref="B196:B259" si="12">IF(A196="","",CHOOSE(WEEKDAY(A196,2),"Mon","Tue","Wed","Thu","Fri","Sat","Sun"))</f>
        <v/>
      </c>
      <c r="C196" s="10" t="str">
        <f>IF(A196="","",IF(DAY(A196)&gt;=Settings!$B$5,DATE(YEAR(A196),MONTH(A196),Settings!$B$5),DATE(YEAR(EDATE(A196,-1)),MONTH(EDATE(A196,-1)),Settings!$B$5)))</f>
        <v/>
      </c>
      <c r="D196" s="8"/>
      <c r="E196" s="10" t="str">
        <f t="shared" ref="E196:E259" si="13">IF(A196="","",IF(D196&lt;&gt;"",D196,IF(A196=F196,"W","")))</f>
        <v/>
      </c>
      <c r="F196" s="10" t="str">
        <f>IF(A196="","",K195+Settings!$B$8)</f>
        <v/>
      </c>
      <c r="G196" s="11" t="str">
        <f t="shared" ref="G196:G259" si="14">IF(OR(A196="",D196=""),"",MAX(0,F196-A196))</f>
        <v/>
      </c>
      <c r="H196" s="12" t="str">
        <f>IF(G196="","",G196/Settings!$B$8)</f>
        <v/>
      </c>
      <c r="I196" s="38" t="str">
        <f>IF(H196="","",H196*Settings!$B$11)</f>
        <v/>
      </c>
      <c r="J196" s="40" t="str">
        <f>IF(E196="","",IF(E196="W","Weekly Reset",IF(H196&gt;=1,"Very High Benefit; High Unused-Allowance Risk",IF(H196&gt;Settings!$B$17,"Highly Beneficial; Allowance May Be Underused",IF(H196&gt;=Settings!$B$17,"Highly Beneficial",IF(H196&gt;=0.4,"Moderate",IF(H196&gt;0,"Low Benefit","No Advance Benefit")))))))</f>
        <v/>
      </c>
      <c r="K196" s="10" t="str">
        <f t="shared" si="11"/>
        <v/>
      </c>
    </row>
    <row r="197" spans="1:11" ht="14.25" customHeight="1">
      <c r="A197" s="10" t="str">
        <f>IF(Settings!$B$4="","",IF(Settings!$B$4+ROW()-4&lt;EDATE(Settings!$B$4,12),Settings!$B$4+ROW()-4,""))</f>
        <v/>
      </c>
      <c r="B197" s="9" t="str">
        <f t="shared" si="12"/>
        <v/>
      </c>
      <c r="C197" s="10" t="str">
        <f>IF(A197="","",IF(DAY(A197)&gt;=Settings!$B$5,DATE(YEAR(A197),MONTH(A197),Settings!$B$5),DATE(YEAR(EDATE(A197,-1)),MONTH(EDATE(A197,-1)),Settings!$B$5)))</f>
        <v/>
      </c>
      <c r="D197" s="8"/>
      <c r="E197" s="10" t="str">
        <f t="shared" si="13"/>
        <v/>
      </c>
      <c r="F197" s="10" t="str">
        <f>IF(A197="","",K196+Settings!$B$8)</f>
        <v/>
      </c>
      <c r="G197" s="11" t="str">
        <f t="shared" si="14"/>
        <v/>
      </c>
      <c r="H197" s="12" t="str">
        <f>IF(G197="","",G197/Settings!$B$8)</f>
        <v/>
      </c>
      <c r="I197" s="38" t="str">
        <f>IF(H197="","",H197*Settings!$B$11)</f>
        <v/>
      </c>
      <c r="J197" s="40" t="str">
        <f>IF(E197="","",IF(E197="W","Weekly Reset",IF(H197&gt;=1,"Very High Benefit; High Unused-Allowance Risk",IF(H197&gt;Settings!$B$17,"Highly Beneficial; Allowance May Be Underused",IF(H197&gt;=Settings!$B$17,"Highly Beneficial",IF(H197&gt;=0.4,"Moderate",IF(H197&gt;0,"Low Benefit","No Advance Benefit")))))))</f>
        <v/>
      </c>
      <c r="K197" s="10" t="str">
        <f t="shared" ref="K197:K260" si="15">IF(A197="","",IF(D197&lt;&gt;"",A197,IF(A197=F197,A197,K196)))</f>
        <v/>
      </c>
    </row>
    <row r="198" spans="1:11" ht="14.25" customHeight="1">
      <c r="A198" s="10" t="str">
        <f>IF(Settings!$B$4="","",IF(Settings!$B$4+ROW()-4&lt;EDATE(Settings!$B$4,12),Settings!$B$4+ROW()-4,""))</f>
        <v/>
      </c>
      <c r="B198" s="9" t="str">
        <f t="shared" si="12"/>
        <v/>
      </c>
      <c r="C198" s="10" t="str">
        <f>IF(A198="","",IF(DAY(A198)&gt;=Settings!$B$5,DATE(YEAR(A198),MONTH(A198),Settings!$B$5),DATE(YEAR(EDATE(A198,-1)),MONTH(EDATE(A198,-1)),Settings!$B$5)))</f>
        <v/>
      </c>
      <c r="D198" s="8"/>
      <c r="E198" s="10" t="str">
        <f t="shared" si="13"/>
        <v/>
      </c>
      <c r="F198" s="10" t="str">
        <f>IF(A198="","",K197+Settings!$B$8)</f>
        <v/>
      </c>
      <c r="G198" s="11" t="str">
        <f t="shared" si="14"/>
        <v/>
      </c>
      <c r="H198" s="12" t="str">
        <f>IF(G198="","",G198/Settings!$B$8)</f>
        <v/>
      </c>
      <c r="I198" s="38" t="str">
        <f>IF(H198="","",H198*Settings!$B$11)</f>
        <v/>
      </c>
      <c r="J198" s="40" t="str">
        <f>IF(E198="","",IF(E198="W","Weekly Reset",IF(H198&gt;=1,"Very High Benefit; High Unused-Allowance Risk",IF(H198&gt;Settings!$B$17,"Highly Beneficial; Allowance May Be Underused",IF(H198&gt;=Settings!$B$17,"Highly Beneficial",IF(H198&gt;=0.4,"Moderate",IF(H198&gt;0,"Low Benefit","No Advance Benefit")))))))</f>
        <v/>
      </c>
      <c r="K198" s="10" t="str">
        <f t="shared" si="15"/>
        <v/>
      </c>
    </row>
    <row r="199" spans="1:11" ht="14.25" customHeight="1">
      <c r="A199" s="10" t="str">
        <f>IF(Settings!$B$4="","",IF(Settings!$B$4+ROW()-4&lt;EDATE(Settings!$B$4,12),Settings!$B$4+ROW()-4,""))</f>
        <v/>
      </c>
      <c r="B199" s="9" t="str">
        <f t="shared" si="12"/>
        <v/>
      </c>
      <c r="C199" s="10" t="str">
        <f>IF(A199="","",IF(DAY(A199)&gt;=Settings!$B$5,DATE(YEAR(A199),MONTH(A199),Settings!$B$5),DATE(YEAR(EDATE(A199,-1)),MONTH(EDATE(A199,-1)),Settings!$B$5)))</f>
        <v/>
      </c>
      <c r="D199" s="8"/>
      <c r="E199" s="10" t="str">
        <f t="shared" si="13"/>
        <v/>
      </c>
      <c r="F199" s="10" t="str">
        <f>IF(A199="","",K198+Settings!$B$8)</f>
        <v/>
      </c>
      <c r="G199" s="11" t="str">
        <f t="shared" si="14"/>
        <v/>
      </c>
      <c r="H199" s="12" t="str">
        <f>IF(G199="","",G199/Settings!$B$8)</f>
        <v/>
      </c>
      <c r="I199" s="38" t="str">
        <f>IF(H199="","",H199*Settings!$B$11)</f>
        <v/>
      </c>
      <c r="J199" s="40" t="str">
        <f>IF(E199="","",IF(E199="W","Weekly Reset",IF(H199&gt;=1,"Very High Benefit; High Unused-Allowance Risk",IF(H199&gt;Settings!$B$17,"Highly Beneficial; Allowance May Be Underused",IF(H199&gt;=Settings!$B$17,"Highly Beneficial",IF(H199&gt;=0.4,"Moderate",IF(H199&gt;0,"Low Benefit","No Advance Benefit")))))))</f>
        <v/>
      </c>
      <c r="K199" s="10" t="str">
        <f t="shared" si="15"/>
        <v/>
      </c>
    </row>
    <row r="200" spans="1:11" ht="14.25" customHeight="1">
      <c r="A200" s="10" t="str">
        <f>IF(Settings!$B$4="","",IF(Settings!$B$4+ROW()-4&lt;EDATE(Settings!$B$4,12),Settings!$B$4+ROW()-4,""))</f>
        <v/>
      </c>
      <c r="B200" s="9" t="str">
        <f t="shared" si="12"/>
        <v/>
      </c>
      <c r="C200" s="10" t="str">
        <f>IF(A200="","",IF(DAY(A200)&gt;=Settings!$B$5,DATE(YEAR(A200),MONTH(A200),Settings!$B$5),DATE(YEAR(EDATE(A200,-1)),MONTH(EDATE(A200,-1)),Settings!$B$5)))</f>
        <v/>
      </c>
      <c r="D200" s="8"/>
      <c r="E200" s="10" t="str">
        <f t="shared" si="13"/>
        <v/>
      </c>
      <c r="F200" s="10" t="str">
        <f>IF(A200="","",K199+Settings!$B$8)</f>
        <v/>
      </c>
      <c r="G200" s="11" t="str">
        <f t="shared" si="14"/>
        <v/>
      </c>
      <c r="H200" s="12" t="str">
        <f>IF(G200="","",G200/Settings!$B$8)</f>
        <v/>
      </c>
      <c r="I200" s="38" t="str">
        <f>IF(H200="","",H200*Settings!$B$11)</f>
        <v/>
      </c>
      <c r="J200" s="40" t="str">
        <f>IF(E200="","",IF(E200="W","Weekly Reset",IF(H200&gt;=1,"Very High Benefit; High Unused-Allowance Risk",IF(H200&gt;Settings!$B$17,"Highly Beneficial; Allowance May Be Underused",IF(H200&gt;=Settings!$B$17,"Highly Beneficial",IF(H200&gt;=0.4,"Moderate",IF(H200&gt;0,"Low Benefit","No Advance Benefit")))))))</f>
        <v/>
      </c>
      <c r="K200" s="10" t="str">
        <f t="shared" si="15"/>
        <v/>
      </c>
    </row>
    <row r="201" spans="1:11" ht="14.25" customHeight="1">
      <c r="A201" s="10" t="str">
        <f>IF(Settings!$B$4="","",IF(Settings!$B$4+ROW()-4&lt;EDATE(Settings!$B$4,12),Settings!$B$4+ROW()-4,""))</f>
        <v/>
      </c>
      <c r="B201" s="9" t="str">
        <f t="shared" si="12"/>
        <v/>
      </c>
      <c r="C201" s="10" t="str">
        <f>IF(A201="","",IF(DAY(A201)&gt;=Settings!$B$5,DATE(YEAR(A201),MONTH(A201),Settings!$B$5),DATE(YEAR(EDATE(A201,-1)),MONTH(EDATE(A201,-1)),Settings!$B$5)))</f>
        <v/>
      </c>
      <c r="D201" s="8"/>
      <c r="E201" s="10" t="str">
        <f t="shared" si="13"/>
        <v/>
      </c>
      <c r="F201" s="10" t="str">
        <f>IF(A201="","",K200+Settings!$B$8)</f>
        <v/>
      </c>
      <c r="G201" s="11" t="str">
        <f t="shared" si="14"/>
        <v/>
      </c>
      <c r="H201" s="12" t="str">
        <f>IF(G201="","",G201/Settings!$B$8)</f>
        <v/>
      </c>
      <c r="I201" s="38" t="str">
        <f>IF(H201="","",H201*Settings!$B$11)</f>
        <v/>
      </c>
      <c r="J201" s="40" t="str">
        <f>IF(E201="","",IF(E201="W","Weekly Reset",IF(H201&gt;=1,"Very High Benefit; High Unused-Allowance Risk",IF(H201&gt;Settings!$B$17,"Highly Beneficial; Allowance May Be Underused",IF(H201&gt;=Settings!$B$17,"Highly Beneficial",IF(H201&gt;=0.4,"Moderate",IF(H201&gt;0,"Low Benefit","No Advance Benefit")))))))</f>
        <v/>
      </c>
      <c r="K201" s="10" t="str">
        <f t="shared" si="15"/>
        <v/>
      </c>
    </row>
    <row r="202" spans="1:11" ht="14.25" customHeight="1">
      <c r="A202" s="10" t="str">
        <f>IF(Settings!$B$4="","",IF(Settings!$B$4+ROW()-4&lt;EDATE(Settings!$B$4,12),Settings!$B$4+ROW()-4,""))</f>
        <v/>
      </c>
      <c r="B202" s="9" t="str">
        <f t="shared" si="12"/>
        <v/>
      </c>
      <c r="C202" s="10" t="str">
        <f>IF(A202="","",IF(DAY(A202)&gt;=Settings!$B$5,DATE(YEAR(A202),MONTH(A202),Settings!$B$5),DATE(YEAR(EDATE(A202,-1)),MONTH(EDATE(A202,-1)),Settings!$B$5)))</f>
        <v/>
      </c>
      <c r="D202" s="8"/>
      <c r="E202" s="10" t="str">
        <f t="shared" si="13"/>
        <v/>
      </c>
      <c r="F202" s="10" t="str">
        <f>IF(A202="","",K201+Settings!$B$8)</f>
        <v/>
      </c>
      <c r="G202" s="11" t="str">
        <f t="shared" si="14"/>
        <v/>
      </c>
      <c r="H202" s="12" t="str">
        <f>IF(G202="","",G202/Settings!$B$8)</f>
        <v/>
      </c>
      <c r="I202" s="38" t="str">
        <f>IF(H202="","",H202*Settings!$B$11)</f>
        <v/>
      </c>
      <c r="J202" s="40" t="str">
        <f>IF(E202="","",IF(E202="W","Weekly Reset",IF(H202&gt;=1,"Very High Benefit; High Unused-Allowance Risk",IF(H202&gt;Settings!$B$17,"Highly Beneficial; Allowance May Be Underused",IF(H202&gt;=Settings!$B$17,"Highly Beneficial",IF(H202&gt;=0.4,"Moderate",IF(H202&gt;0,"Low Benefit","No Advance Benefit")))))))</f>
        <v/>
      </c>
      <c r="K202" s="10" t="str">
        <f t="shared" si="15"/>
        <v/>
      </c>
    </row>
    <row r="203" spans="1:11" ht="14.25" customHeight="1">
      <c r="A203" s="10" t="str">
        <f>IF(Settings!$B$4="","",IF(Settings!$B$4+ROW()-4&lt;EDATE(Settings!$B$4,12),Settings!$B$4+ROW()-4,""))</f>
        <v/>
      </c>
      <c r="B203" s="9" t="str">
        <f t="shared" si="12"/>
        <v/>
      </c>
      <c r="C203" s="10" t="str">
        <f>IF(A203="","",IF(DAY(A203)&gt;=Settings!$B$5,DATE(YEAR(A203),MONTH(A203),Settings!$B$5),DATE(YEAR(EDATE(A203,-1)),MONTH(EDATE(A203,-1)),Settings!$B$5)))</f>
        <v/>
      </c>
      <c r="D203" s="8"/>
      <c r="E203" s="10" t="str">
        <f t="shared" si="13"/>
        <v/>
      </c>
      <c r="F203" s="10" t="str">
        <f>IF(A203="","",K202+Settings!$B$8)</f>
        <v/>
      </c>
      <c r="G203" s="11" t="str">
        <f t="shared" si="14"/>
        <v/>
      </c>
      <c r="H203" s="12" t="str">
        <f>IF(G203="","",G203/Settings!$B$8)</f>
        <v/>
      </c>
      <c r="I203" s="38" t="str">
        <f>IF(H203="","",H203*Settings!$B$11)</f>
        <v/>
      </c>
      <c r="J203" s="40" t="str">
        <f>IF(E203="","",IF(E203="W","Weekly Reset",IF(H203&gt;=1,"Very High Benefit; High Unused-Allowance Risk",IF(H203&gt;Settings!$B$17,"Highly Beneficial; Allowance May Be Underused",IF(H203&gt;=Settings!$B$17,"Highly Beneficial",IF(H203&gt;=0.4,"Moderate",IF(H203&gt;0,"Low Benefit","No Advance Benefit")))))))</f>
        <v/>
      </c>
      <c r="K203" s="10" t="str">
        <f t="shared" si="15"/>
        <v/>
      </c>
    </row>
    <row r="204" spans="1:11" ht="14.25" customHeight="1">
      <c r="A204" s="10" t="str">
        <f>IF(Settings!$B$4="","",IF(Settings!$B$4+ROW()-4&lt;EDATE(Settings!$B$4,12),Settings!$B$4+ROW()-4,""))</f>
        <v/>
      </c>
      <c r="B204" s="9" t="str">
        <f t="shared" si="12"/>
        <v/>
      </c>
      <c r="C204" s="10" t="str">
        <f>IF(A204="","",IF(DAY(A204)&gt;=Settings!$B$5,DATE(YEAR(A204),MONTH(A204),Settings!$B$5),DATE(YEAR(EDATE(A204,-1)),MONTH(EDATE(A204,-1)),Settings!$B$5)))</f>
        <v/>
      </c>
      <c r="D204" s="8"/>
      <c r="E204" s="10" t="str">
        <f t="shared" si="13"/>
        <v/>
      </c>
      <c r="F204" s="10" t="str">
        <f>IF(A204="","",K203+Settings!$B$8)</f>
        <v/>
      </c>
      <c r="G204" s="11" t="str">
        <f t="shared" si="14"/>
        <v/>
      </c>
      <c r="H204" s="12" t="str">
        <f>IF(G204="","",G204/Settings!$B$8)</f>
        <v/>
      </c>
      <c r="I204" s="38" t="str">
        <f>IF(H204="","",H204*Settings!$B$11)</f>
        <v/>
      </c>
      <c r="J204" s="40" t="str">
        <f>IF(E204="","",IF(E204="W","Weekly Reset",IF(H204&gt;=1,"Very High Benefit; High Unused-Allowance Risk",IF(H204&gt;Settings!$B$17,"Highly Beneficial; Allowance May Be Underused",IF(H204&gt;=Settings!$B$17,"Highly Beneficial",IF(H204&gt;=0.4,"Moderate",IF(H204&gt;0,"Low Benefit","No Advance Benefit")))))))</f>
        <v/>
      </c>
      <c r="K204" s="10" t="str">
        <f t="shared" si="15"/>
        <v/>
      </c>
    </row>
    <row r="205" spans="1:11" ht="14.25" customHeight="1">
      <c r="A205" s="10" t="str">
        <f>IF(Settings!$B$4="","",IF(Settings!$B$4+ROW()-4&lt;EDATE(Settings!$B$4,12),Settings!$B$4+ROW()-4,""))</f>
        <v/>
      </c>
      <c r="B205" s="9" t="str">
        <f t="shared" si="12"/>
        <v/>
      </c>
      <c r="C205" s="10" t="str">
        <f>IF(A205="","",IF(DAY(A205)&gt;=Settings!$B$5,DATE(YEAR(A205),MONTH(A205),Settings!$B$5),DATE(YEAR(EDATE(A205,-1)),MONTH(EDATE(A205,-1)),Settings!$B$5)))</f>
        <v/>
      </c>
      <c r="D205" s="8"/>
      <c r="E205" s="10" t="str">
        <f t="shared" si="13"/>
        <v/>
      </c>
      <c r="F205" s="10" t="str">
        <f>IF(A205="","",K204+Settings!$B$8)</f>
        <v/>
      </c>
      <c r="G205" s="11" t="str">
        <f t="shared" si="14"/>
        <v/>
      </c>
      <c r="H205" s="12" t="str">
        <f>IF(G205="","",G205/Settings!$B$8)</f>
        <v/>
      </c>
      <c r="I205" s="38" t="str">
        <f>IF(H205="","",H205*Settings!$B$11)</f>
        <v/>
      </c>
      <c r="J205" s="40" t="str">
        <f>IF(E205="","",IF(E205="W","Weekly Reset",IF(H205&gt;=1,"Very High Benefit; High Unused-Allowance Risk",IF(H205&gt;Settings!$B$17,"Highly Beneficial; Allowance May Be Underused",IF(H205&gt;=Settings!$B$17,"Highly Beneficial",IF(H205&gt;=0.4,"Moderate",IF(H205&gt;0,"Low Benefit","No Advance Benefit")))))))</f>
        <v/>
      </c>
      <c r="K205" s="10" t="str">
        <f t="shared" si="15"/>
        <v/>
      </c>
    </row>
    <row r="206" spans="1:11" ht="14.25" customHeight="1">
      <c r="A206" s="10" t="str">
        <f>IF(Settings!$B$4="","",IF(Settings!$B$4+ROW()-4&lt;EDATE(Settings!$B$4,12),Settings!$B$4+ROW()-4,""))</f>
        <v/>
      </c>
      <c r="B206" s="9" t="str">
        <f t="shared" si="12"/>
        <v/>
      </c>
      <c r="C206" s="10" t="str">
        <f>IF(A206="","",IF(DAY(A206)&gt;=Settings!$B$5,DATE(YEAR(A206),MONTH(A206),Settings!$B$5),DATE(YEAR(EDATE(A206,-1)),MONTH(EDATE(A206,-1)),Settings!$B$5)))</f>
        <v/>
      </c>
      <c r="D206" s="8"/>
      <c r="E206" s="10" t="str">
        <f t="shared" si="13"/>
        <v/>
      </c>
      <c r="F206" s="10" t="str">
        <f>IF(A206="","",K205+Settings!$B$8)</f>
        <v/>
      </c>
      <c r="G206" s="11" t="str">
        <f t="shared" si="14"/>
        <v/>
      </c>
      <c r="H206" s="12" t="str">
        <f>IF(G206="","",G206/Settings!$B$8)</f>
        <v/>
      </c>
      <c r="I206" s="38" t="str">
        <f>IF(H206="","",H206*Settings!$B$11)</f>
        <v/>
      </c>
      <c r="J206" s="40" t="str">
        <f>IF(E206="","",IF(E206="W","Weekly Reset",IF(H206&gt;=1,"Very High Benefit; High Unused-Allowance Risk",IF(H206&gt;Settings!$B$17,"Highly Beneficial; Allowance May Be Underused",IF(H206&gt;=Settings!$B$17,"Highly Beneficial",IF(H206&gt;=0.4,"Moderate",IF(H206&gt;0,"Low Benefit","No Advance Benefit")))))))</f>
        <v/>
      </c>
      <c r="K206" s="10" t="str">
        <f t="shared" si="15"/>
        <v/>
      </c>
    </row>
    <row r="207" spans="1:11" ht="14.25" customHeight="1">
      <c r="A207" s="10" t="str">
        <f>IF(Settings!$B$4="","",IF(Settings!$B$4+ROW()-4&lt;EDATE(Settings!$B$4,12),Settings!$B$4+ROW()-4,""))</f>
        <v/>
      </c>
      <c r="B207" s="9" t="str">
        <f t="shared" si="12"/>
        <v/>
      </c>
      <c r="C207" s="10" t="str">
        <f>IF(A207="","",IF(DAY(A207)&gt;=Settings!$B$5,DATE(YEAR(A207),MONTH(A207),Settings!$B$5),DATE(YEAR(EDATE(A207,-1)),MONTH(EDATE(A207,-1)),Settings!$B$5)))</f>
        <v/>
      </c>
      <c r="D207" s="8"/>
      <c r="E207" s="10" t="str">
        <f t="shared" si="13"/>
        <v/>
      </c>
      <c r="F207" s="10" t="str">
        <f>IF(A207="","",K206+Settings!$B$8)</f>
        <v/>
      </c>
      <c r="G207" s="11" t="str">
        <f t="shared" si="14"/>
        <v/>
      </c>
      <c r="H207" s="12" t="str">
        <f>IF(G207="","",G207/Settings!$B$8)</f>
        <v/>
      </c>
      <c r="I207" s="38" t="str">
        <f>IF(H207="","",H207*Settings!$B$11)</f>
        <v/>
      </c>
      <c r="J207" s="40" t="str">
        <f>IF(E207="","",IF(E207="W","Weekly Reset",IF(H207&gt;=1,"Very High Benefit; High Unused-Allowance Risk",IF(H207&gt;Settings!$B$17,"Highly Beneficial; Allowance May Be Underused",IF(H207&gt;=Settings!$B$17,"Highly Beneficial",IF(H207&gt;=0.4,"Moderate",IF(H207&gt;0,"Low Benefit","No Advance Benefit")))))))</f>
        <v/>
      </c>
      <c r="K207" s="10" t="str">
        <f t="shared" si="15"/>
        <v/>
      </c>
    </row>
    <row r="208" spans="1:11" ht="14.25" customHeight="1">
      <c r="A208" s="10" t="str">
        <f>IF(Settings!$B$4="","",IF(Settings!$B$4+ROW()-4&lt;EDATE(Settings!$B$4,12),Settings!$B$4+ROW()-4,""))</f>
        <v/>
      </c>
      <c r="B208" s="9" t="str">
        <f t="shared" si="12"/>
        <v/>
      </c>
      <c r="C208" s="10" t="str">
        <f>IF(A208="","",IF(DAY(A208)&gt;=Settings!$B$5,DATE(YEAR(A208),MONTH(A208),Settings!$B$5),DATE(YEAR(EDATE(A208,-1)),MONTH(EDATE(A208,-1)),Settings!$B$5)))</f>
        <v/>
      </c>
      <c r="D208" s="8"/>
      <c r="E208" s="10" t="str">
        <f t="shared" si="13"/>
        <v/>
      </c>
      <c r="F208" s="10" t="str">
        <f>IF(A208="","",K207+Settings!$B$8)</f>
        <v/>
      </c>
      <c r="G208" s="11" t="str">
        <f t="shared" si="14"/>
        <v/>
      </c>
      <c r="H208" s="12" t="str">
        <f>IF(G208="","",G208/Settings!$B$8)</f>
        <v/>
      </c>
      <c r="I208" s="38" t="str">
        <f>IF(H208="","",H208*Settings!$B$11)</f>
        <v/>
      </c>
      <c r="J208" s="40" t="str">
        <f>IF(E208="","",IF(E208="W","Weekly Reset",IF(H208&gt;=1,"Very High Benefit; High Unused-Allowance Risk",IF(H208&gt;Settings!$B$17,"Highly Beneficial; Allowance May Be Underused",IF(H208&gt;=Settings!$B$17,"Highly Beneficial",IF(H208&gt;=0.4,"Moderate",IF(H208&gt;0,"Low Benefit","No Advance Benefit")))))))</f>
        <v/>
      </c>
      <c r="K208" s="10" t="str">
        <f t="shared" si="15"/>
        <v/>
      </c>
    </row>
    <row r="209" spans="1:11" ht="14.25" customHeight="1">
      <c r="A209" s="10" t="str">
        <f>IF(Settings!$B$4="","",IF(Settings!$B$4+ROW()-4&lt;EDATE(Settings!$B$4,12),Settings!$B$4+ROW()-4,""))</f>
        <v/>
      </c>
      <c r="B209" s="9" t="str">
        <f t="shared" si="12"/>
        <v/>
      </c>
      <c r="C209" s="10" t="str">
        <f>IF(A209="","",IF(DAY(A209)&gt;=Settings!$B$5,DATE(YEAR(A209),MONTH(A209),Settings!$B$5),DATE(YEAR(EDATE(A209,-1)),MONTH(EDATE(A209,-1)),Settings!$B$5)))</f>
        <v/>
      </c>
      <c r="D209" s="8"/>
      <c r="E209" s="10" t="str">
        <f t="shared" si="13"/>
        <v/>
      </c>
      <c r="F209" s="10" t="str">
        <f>IF(A209="","",K208+Settings!$B$8)</f>
        <v/>
      </c>
      <c r="G209" s="11" t="str">
        <f t="shared" si="14"/>
        <v/>
      </c>
      <c r="H209" s="12" t="str">
        <f>IF(G209="","",G209/Settings!$B$8)</f>
        <v/>
      </c>
      <c r="I209" s="38" t="str">
        <f>IF(H209="","",H209*Settings!$B$11)</f>
        <v/>
      </c>
      <c r="J209" s="40" t="str">
        <f>IF(E209="","",IF(E209="W","Weekly Reset",IF(H209&gt;=1,"Very High Benefit; High Unused-Allowance Risk",IF(H209&gt;Settings!$B$17,"Highly Beneficial; Allowance May Be Underused",IF(H209&gt;=Settings!$B$17,"Highly Beneficial",IF(H209&gt;=0.4,"Moderate",IF(H209&gt;0,"Low Benefit","No Advance Benefit")))))))</f>
        <v/>
      </c>
      <c r="K209" s="10" t="str">
        <f t="shared" si="15"/>
        <v/>
      </c>
    </row>
    <row r="210" spans="1:11" ht="14.25" customHeight="1">
      <c r="A210" s="10" t="str">
        <f>IF(Settings!$B$4="","",IF(Settings!$B$4+ROW()-4&lt;EDATE(Settings!$B$4,12),Settings!$B$4+ROW()-4,""))</f>
        <v/>
      </c>
      <c r="B210" s="9" t="str">
        <f t="shared" si="12"/>
        <v/>
      </c>
      <c r="C210" s="10" t="str">
        <f>IF(A210="","",IF(DAY(A210)&gt;=Settings!$B$5,DATE(YEAR(A210),MONTH(A210),Settings!$B$5),DATE(YEAR(EDATE(A210,-1)),MONTH(EDATE(A210,-1)),Settings!$B$5)))</f>
        <v/>
      </c>
      <c r="D210" s="8"/>
      <c r="E210" s="10" t="str">
        <f t="shared" si="13"/>
        <v/>
      </c>
      <c r="F210" s="10" t="str">
        <f>IF(A210="","",K209+Settings!$B$8)</f>
        <v/>
      </c>
      <c r="G210" s="11" t="str">
        <f t="shared" si="14"/>
        <v/>
      </c>
      <c r="H210" s="12" t="str">
        <f>IF(G210="","",G210/Settings!$B$8)</f>
        <v/>
      </c>
      <c r="I210" s="38" t="str">
        <f>IF(H210="","",H210*Settings!$B$11)</f>
        <v/>
      </c>
      <c r="J210" s="40" t="str">
        <f>IF(E210="","",IF(E210="W","Weekly Reset",IF(H210&gt;=1,"Very High Benefit; High Unused-Allowance Risk",IF(H210&gt;Settings!$B$17,"Highly Beneficial; Allowance May Be Underused",IF(H210&gt;=Settings!$B$17,"Highly Beneficial",IF(H210&gt;=0.4,"Moderate",IF(H210&gt;0,"Low Benefit","No Advance Benefit")))))))</f>
        <v/>
      </c>
      <c r="K210" s="10" t="str">
        <f t="shared" si="15"/>
        <v/>
      </c>
    </row>
    <row r="211" spans="1:11" ht="14.25" customHeight="1">
      <c r="A211" s="10" t="str">
        <f>IF(Settings!$B$4="","",IF(Settings!$B$4+ROW()-4&lt;EDATE(Settings!$B$4,12),Settings!$B$4+ROW()-4,""))</f>
        <v/>
      </c>
      <c r="B211" s="9" t="str">
        <f t="shared" si="12"/>
        <v/>
      </c>
      <c r="C211" s="10" t="str">
        <f>IF(A211="","",IF(DAY(A211)&gt;=Settings!$B$5,DATE(YEAR(A211),MONTH(A211),Settings!$B$5),DATE(YEAR(EDATE(A211,-1)),MONTH(EDATE(A211,-1)),Settings!$B$5)))</f>
        <v/>
      </c>
      <c r="D211" s="8"/>
      <c r="E211" s="10" t="str">
        <f t="shared" si="13"/>
        <v/>
      </c>
      <c r="F211" s="10" t="str">
        <f>IF(A211="","",K210+Settings!$B$8)</f>
        <v/>
      </c>
      <c r="G211" s="11" t="str">
        <f t="shared" si="14"/>
        <v/>
      </c>
      <c r="H211" s="12" t="str">
        <f>IF(G211="","",G211/Settings!$B$8)</f>
        <v/>
      </c>
      <c r="I211" s="38" t="str">
        <f>IF(H211="","",H211*Settings!$B$11)</f>
        <v/>
      </c>
      <c r="J211" s="40" t="str">
        <f>IF(E211="","",IF(E211="W","Weekly Reset",IF(H211&gt;=1,"Very High Benefit; High Unused-Allowance Risk",IF(H211&gt;Settings!$B$17,"Highly Beneficial; Allowance May Be Underused",IF(H211&gt;=Settings!$B$17,"Highly Beneficial",IF(H211&gt;=0.4,"Moderate",IF(H211&gt;0,"Low Benefit","No Advance Benefit")))))))</f>
        <v/>
      </c>
      <c r="K211" s="10" t="str">
        <f t="shared" si="15"/>
        <v/>
      </c>
    </row>
    <row r="212" spans="1:11" ht="14.25" customHeight="1">
      <c r="A212" s="10" t="str">
        <f>IF(Settings!$B$4="","",IF(Settings!$B$4+ROW()-4&lt;EDATE(Settings!$B$4,12),Settings!$B$4+ROW()-4,""))</f>
        <v/>
      </c>
      <c r="B212" s="9" t="str">
        <f t="shared" si="12"/>
        <v/>
      </c>
      <c r="C212" s="10" t="str">
        <f>IF(A212="","",IF(DAY(A212)&gt;=Settings!$B$5,DATE(YEAR(A212),MONTH(A212),Settings!$B$5),DATE(YEAR(EDATE(A212,-1)),MONTH(EDATE(A212,-1)),Settings!$B$5)))</f>
        <v/>
      </c>
      <c r="D212" s="8"/>
      <c r="E212" s="10" t="str">
        <f t="shared" si="13"/>
        <v/>
      </c>
      <c r="F212" s="10" t="str">
        <f>IF(A212="","",K211+Settings!$B$8)</f>
        <v/>
      </c>
      <c r="G212" s="11" t="str">
        <f t="shared" si="14"/>
        <v/>
      </c>
      <c r="H212" s="12" t="str">
        <f>IF(G212="","",G212/Settings!$B$8)</f>
        <v/>
      </c>
      <c r="I212" s="38" t="str">
        <f>IF(H212="","",H212*Settings!$B$11)</f>
        <v/>
      </c>
      <c r="J212" s="40" t="str">
        <f>IF(E212="","",IF(E212="W","Weekly Reset",IF(H212&gt;=1,"Very High Benefit; High Unused-Allowance Risk",IF(H212&gt;Settings!$B$17,"Highly Beneficial; Allowance May Be Underused",IF(H212&gt;=Settings!$B$17,"Highly Beneficial",IF(H212&gt;=0.4,"Moderate",IF(H212&gt;0,"Low Benefit","No Advance Benefit")))))))</f>
        <v/>
      </c>
      <c r="K212" s="10" t="str">
        <f t="shared" si="15"/>
        <v/>
      </c>
    </row>
    <row r="213" spans="1:11" ht="14.25" customHeight="1">
      <c r="A213" s="10" t="str">
        <f>IF(Settings!$B$4="","",IF(Settings!$B$4+ROW()-4&lt;EDATE(Settings!$B$4,12),Settings!$B$4+ROW()-4,""))</f>
        <v/>
      </c>
      <c r="B213" s="9" t="str">
        <f t="shared" si="12"/>
        <v/>
      </c>
      <c r="C213" s="10" t="str">
        <f>IF(A213="","",IF(DAY(A213)&gt;=Settings!$B$5,DATE(YEAR(A213),MONTH(A213),Settings!$B$5),DATE(YEAR(EDATE(A213,-1)),MONTH(EDATE(A213,-1)),Settings!$B$5)))</f>
        <v/>
      </c>
      <c r="D213" s="8"/>
      <c r="E213" s="10" t="str">
        <f t="shared" si="13"/>
        <v/>
      </c>
      <c r="F213" s="10" t="str">
        <f>IF(A213="","",K212+Settings!$B$8)</f>
        <v/>
      </c>
      <c r="G213" s="11" t="str">
        <f t="shared" si="14"/>
        <v/>
      </c>
      <c r="H213" s="12" t="str">
        <f>IF(G213="","",G213/Settings!$B$8)</f>
        <v/>
      </c>
      <c r="I213" s="38" t="str">
        <f>IF(H213="","",H213*Settings!$B$11)</f>
        <v/>
      </c>
      <c r="J213" s="40" t="str">
        <f>IF(E213="","",IF(E213="W","Weekly Reset",IF(H213&gt;=1,"Very High Benefit; High Unused-Allowance Risk",IF(H213&gt;Settings!$B$17,"Highly Beneficial; Allowance May Be Underused",IF(H213&gt;=Settings!$B$17,"Highly Beneficial",IF(H213&gt;=0.4,"Moderate",IF(H213&gt;0,"Low Benefit","No Advance Benefit")))))))</f>
        <v/>
      </c>
      <c r="K213" s="10" t="str">
        <f t="shared" si="15"/>
        <v/>
      </c>
    </row>
    <row r="214" spans="1:11" ht="14.25" customHeight="1">
      <c r="A214" s="10" t="str">
        <f>IF(Settings!$B$4="","",IF(Settings!$B$4+ROW()-4&lt;EDATE(Settings!$B$4,12),Settings!$B$4+ROW()-4,""))</f>
        <v/>
      </c>
      <c r="B214" s="9" t="str">
        <f t="shared" si="12"/>
        <v/>
      </c>
      <c r="C214" s="10" t="str">
        <f>IF(A214="","",IF(DAY(A214)&gt;=Settings!$B$5,DATE(YEAR(A214),MONTH(A214),Settings!$B$5),DATE(YEAR(EDATE(A214,-1)),MONTH(EDATE(A214,-1)),Settings!$B$5)))</f>
        <v/>
      </c>
      <c r="D214" s="8"/>
      <c r="E214" s="10" t="str">
        <f t="shared" si="13"/>
        <v/>
      </c>
      <c r="F214" s="10" t="str">
        <f>IF(A214="","",K213+Settings!$B$8)</f>
        <v/>
      </c>
      <c r="G214" s="11" t="str">
        <f t="shared" si="14"/>
        <v/>
      </c>
      <c r="H214" s="12" t="str">
        <f>IF(G214="","",G214/Settings!$B$8)</f>
        <v/>
      </c>
      <c r="I214" s="38" t="str">
        <f>IF(H214="","",H214*Settings!$B$11)</f>
        <v/>
      </c>
      <c r="J214" s="40" t="str">
        <f>IF(E214="","",IF(E214="W","Weekly Reset",IF(H214&gt;=1,"Very High Benefit; High Unused-Allowance Risk",IF(H214&gt;Settings!$B$17,"Highly Beneficial; Allowance May Be Underused",IF(H214&gt;=Settings!$B$17,"Highly Beneficial",IF(H214&gt;=0.4,"Moderate",IF(H214&gt;0,"Low Benefit","No Advance Benefit")))))))</f>
        <v/>
      </c>
      <c r="K214" s="10" t="str">
        <f t="shared" si="15"/>
        <v/>
      </c>
    </row>
    <row r="215" spans="1:11" ht="14.25" customHeight="1">
      <c r="A215" s="10" t="str">
        <f>IF(Settings!$B$4="","",IF(Settings!$B$4+ROW()-4&lt;EDATE(Settings!$B$4,12),Settings!$B$4+ROW()-4,""))</f>
        <v/>
      </c>
      <c r="B215" s="9" t="str">
        <f t="shared" si="12"/>
        <v/>
      </c>
      <c r="C215" s="10" t="str">
        <f>IF(A215="","",IF(DAY(A215)&gt;=Settings!$B$5,DATE(YEAR(A215),MONTH(A215),Settings!$B$5),DATE(YEAR(EDATE(A215,-1)),MONTH(EDATE(A215,-1)),Settings!$B$5)))</f>
        <v/>
      </c>
      <c r="D215" s="8"/>
      <c r="E215" s="10" t="str">
        <f t="shared" si="13"/>
        <v/>
      </c>
      <c r="F215" s="10" t="str">
        <f>IF(A215="","",K214+Settings!$B$8)</f>
        <v/>
      </c>
      <c r="G215" s="11" t="str">
        <f t="shared" si="14"/>
        <v/>
      </c>
      <c r="H215" s="12" t="str">
        <f>IF(G215="","",G215/Settings!$B$8)</f>
        <v/>
      </c>
      <c r="I215" s="38" t="str">
        <f>IF(H215="","",H215*Settings!$B$11)</f>
        <v/>
      </c>
      <c r="J215" s="40" t="str">
        <f>IF(E215="","",IF(E215="W","Weekly Reset",IF(H215&gt;=1,"Very High Benefit; High Unused-Allowance Risk",IF(H215&gt;Settings!$B$17,"Highly Beneficial; Allowance May Be Underused",IF(H215&gt;=Settings!$B$17,"Highly Beneficial",IF(H215&gt;=0.4,"Moderate",IF(H215&gt;0,"Low Benefit","No Advance Benefit")))))))</f>
        <v/>
      </c>
      <c r="K215" s="10" t="str">
        <f t="shared" si="15"/>
        <v/>
      </c>
    </row>
    <row r="216" spans="1:11" ht="14.25" customHeight="1">
      <c r="A216" s="10" t="str">
        <f>IF(Settings!$B$4="","",IF(Settings!$B$4+ROW()-4&lt;EDATE(Settings!$B$4,12),Settings!$B$4+ROW()-4,""))</f>
        <v/>
      </c>
      <c r="B216" s="9" t="str">
        <f t="shared" si="12"/>
        <v/>
      </c>
      <c r="C216" s="10" t="str">
        <f>IF(A216="","",IF(DAY(A216)&gt;=Settings!$B$5,DATE(YEAR(A216),MONTH(A216),Settings!$B$5),DATE(YEAR(EDATE(A216,-1)),MONTH(EDATE(A216,-1)),Settings!$B$5)))</f>
        <v/>
      </c>
      <c r="D216" s="8"/>
      <c r="E216" s="10" t="str">
        <f t="shared" si="13"/>
        <v/>
      </c>
      <c r="F216" s="10" t="str">
        <f>IF(A216="","",K215+Settings!$B$8)</f>
        <v/>
      </c>
      <c r="G216" s="11" t="str">
        <f t="shared" si="14"/>
        <v/>
      </c>
      <c r="H216" s="12" t="str">
        <f>IF(G216="","",G216/Settings!$B$8)</f>
        <v/>
      </c>
      <c r="I216" s="38" t="str">
        <f>IF(H216="","",H216*Settings!$B$11)</f>
        <v/>
      </c>
      <c r="J216" s="40" t="str">
        <f>IF(E216="","",IF(E216="W","Weekly Reset",IF(H216&gt;=1,"Very High Benefit; High Unused-Allowance Risk",IF(H216&gt;Settings!$B$17,"Highly Beneficial; Allowance May Be Underused",IF(H216&gt;=Settings!$B$17,"Highly Beneficial",IF(H216&gt;=0.4,"Moderate",IF(H216&gt;0,"Low Benefit","No Advance Benefit")))))))</f>
        <v/>
      </c>
      <c r="K216" s="10" t="str">
        <f t="shared" si="15"/>
        <v/>
      </c>
    </row>
    <row r="217" spans="1:11" ht="14.25" customHeight="1">
      <c r="A217" s="10" t="str">
        <f>IF(Settings!$B$4="","",IF(Settings!$B$4+ROW()-4&lt;EDATE(Settings!$B$4,12),Settings!$B$4+ROW()-4,""))</f>
        <v/>
      </c>
      <c r="B217" s="9" t="str">
        <f t="shared" si="12"/>
        <v/>
      </c>
      <c r="C217" s="10" t="str">
        <f>IF(A217="","",IF(DAY(A217)&gt;=Settings!$B$5,DATE(YEAR(A217),MONTH(A217),Settings!$B$5),DATE(YEAR(EDATE(A217,-1)),MONTH(EDATE(A217,-1)),Settings!$B$5)))</f>
        <v/>
      </c>
      <c r="D217" s="8"/>
      <c r="E217" s="10" t="str">
        <f t="shared" si="13"/>
        <v/>
      </c>
      <c r="F217" s="10" t="str">
        <f>IF(A217="","",K216+Settings!$B$8)</f>
        <v/>
      </c>
      <c r="G217" s="11" t="str">
        <f t="shared" si="14"/>
        <v/>
      </c>
      <c r="H217" s="12" t="str">
        <f>IF(G217="","",G217/Settings!$B$8)</f>
        <v/>
      </c>
      <c r="I217" s="38" t="str">
        <f>IF(H217="","",H217*Settings!$B$11)</f>
        <v/>
      </c>
      <c r="J217" s="40" t="str">
        <f>IF(E217="","",IF(E217="W","Weekly Reset",IF(H217&gt;=1,"Very High Benefit; High Unused-Allowance Risk",IF(H217&gt;Settings!$B$17,"Highly Beneficial; Allowance May Be Underused",IF(H217&gt;=Settings!$B$17,"Highly Beneficial",IF(H217&gt;=0.4,"Moderate",IF(H217&gt;0,"Low Benefit","No Advance Benefit")))))))</f>
        <v/>
      </c>
      <c r="K217" s="10" t="str">
        <f t="shared" si="15"/>
        <v/>
      </c>
    </row>
    <row r="218" spans="1:11" ht="14.25" customHeight="1">
      <c r="A218" s="10" t="str">
        <f>IF(Settings!$B$4="","",IF(Settings!$B$4+ROW()-4&lt;EDATE(Settings!$B$4,12),Settings!$B$4+ROW()-4,""))</f>
        <v/>
      </c>
      <c r="B218" s="9" t="str">
        <f t="shared" si="12"/>
        <v/>
      </c>
      <c r="C218" s="10" t="str">
        <f>IF(A218="","",IF(DAY(A218)&gt;=Settings!$B$5,DATE(YEAR(A218),MONTH(A218),Settings!$B$5),DATE(YEAR(EDATE(A218,-1)),MONTH(EDATE(A218,-1)),Settings!$B$5)))</f>
        <v/>
      </c>
      <c r="D218" s="8"/>
      <c r="E218" s="10" t="str">
        <f t="shared" si="13"/>
        <v/>
      </c>
      <c r="F218" s="10" t="str">
        <f>IF(A218="","",K217+Settings!$B$8)</f>
        <v/>
      </c>
      <c r="G218" s="11" t="str">
        <f t="shared" si="14"/>
        <v/>
      </c>
      <c r="H218" s="12" t="str">
        <f>IF(G218="","",G218/Settings!$B$8)</f>
        <v/>
      </c>
      <c r="I218" s="38" t="str">
        <f>IF(H218="","",H218*Settings!$B$11)</f>
        <v/>
      </c>
      <c r="J218" s="40" t="str">
        <f>IF(E218="","",IF(E218="W","Weekly Reset",IF(H218&gt;=1,"Very High Benefit; High Unused-Allowance Risk",IF(H218&gt;Settings!$B$17,"Highly Beneficial; Allowance May Be Underused",IF(H218&gt;=Settings!$B$17,"Highly Beneficial",IF(H218&gt;=0.4,"Moderate",IF(H218&gt;0,"Low Benefit","No Advance Benefit")))))))</f>
        <v/>
      </c>
      <c r="K218" s="10" t="str">
        <f t="shared" si="15"/>
        <v/>
      </c>
    </row>
    <row r="219" spans="1:11" ht="14.25" customHeight="1">
      <c r="A219" s="10" t="str">
        <f>IF(Settings!$B$4="","",IF(Settings!$B$4+ROW()-4&lt;EDATE(Settings!$B$4,12),Settings!$B$4+ROW()-4,""))</f>
        <v/>
      </c>
      <c r="B219" s="9" t="str">
        <f t="shared" si="12"/>
        <v/>
      </c>
      <c r="C219" s="10" t="str">
        <f>IF(A219="","",IF(DAY(A219)&gt;=Settings!$B$5,DATE(YEAR(A219),MONTH(A219),Settings!$B$5),DATE(YEAR(EDATE(A219,-1)),MONTH(EDATE(A219,-1)),Settings!$B$5)))</f>
        <v/>
      </c>
      <c r="D219" s="8"/>
      <c r="E219" s="10" t="str">
        <f t="shared" si="13"/>
        <v/>
      </c>
      <c r="F219" s="10" t="str">
        <f>IF(A219="","",K218+Settings!$B$8)</f>
        <v/>
      </c>
      <c r="G219" s="11" t="str">
        <f t="shared" si="14"/>
        <v/>
      </c>
      <c r="H219" s="12" t="str">
        <f>IF(G219="","",G219/Settings!$B$8)</f>
        <v/>
      </c>
      <c r="I219" s="38" t="str">
        <f>IF(H219="","",H219*Settings!$B$11)</f>
        <v/>
      </c>
      <c r="J219" s="40" t="str">
        <f>IF(E219="","",IF(E219="W","Weekly Reset",IF(H219&gt;=1,"Very High Benefit; High Unused-Allowance Risk",IF(H219&gt;Settings!$B$17,"Highly Beneficial; Allowance May Be Underused",IF(H219&gt;=Settings!$B$17,"Highly Beneficial",IF(H219&gt;=0.4,"Moderate",IF(H219&gt;0,"Low Benefit","No Advance Benefit")))))))</f>
        <v/>
      </c>
      <c r="K219" s="10" t="str">
        <f t="shared" si="15"/>
        <v/>
      </c>
    </row>
    <row r="220" spans="1:11" ht="14.25" customHeight="1">
      <c r="A220" s="10" t="str">
        <f>IF(Settings!$B$4="","",IF(Settings!$B$4+ROW()-4&lt;EDATE(Settings!$B$4,12),Settings!$B$4+ROW()-4,""))</f>
        <v/>
      </c>
      <c r="B220" s="9" t="str">
        <f t="shared" si="12"/>
        <v/>
      </c>
      <c r="C220" s="10" t="str">
        <f>IF(A220="","",IF(DAY(A220)&gt;=Settings!$B$5,DATE(YEAR(A220),MONTH(A220),Settings!$B$5),DATE(YEAR(EDATE(A220,-1)),MONTH(EDATE(A220,-1)),Settings!$B$5)))</f>
        <v/>
      </c>
      <c r="D220" s="8"/>
      <c r="E220" s="10" t="str">
        <f t="shared" si="13"/>
        <v/>
      </c>
      <c r="F220" s="10" t="str">
        <f>IF(A220="","",K219+Settings!$B$8)</f>
        <v/>
      </c>
      <c r="G220" s="11" t="str">
        <f t="shared" si="14"/>
        <v/>
      </c>
      <c r="H220" s="12" t="str">
        <f>IF(G220="","",G220/Settings!$B$8)</f>
        <v/>
      </c>
      <c r="I220" s="38" t="str">
        <f>IF(H220="","",H220*Settings!$B$11)</f>
        <v/>
      </c>
      <c r="J220" s="40" t="str">
        <f>IF(E220="","",IF(E220="W","Weekly Reset",IF(H220&gt;=1,"Very High Benefit; High Unused-Allowance Risk",IF(H220&gt;Settings!$B$17,"Highly Beneficial; Allowance May Be Underused",IF(H220&gt;=Settings!$B$17,"Highly Beneficial",IF(H220&gt;=0.4,"Moderate",IF(H220&gt;0,"Low Benefit","No Advance Benefit")))))))</f>
        <v/>
      </c>
      <c r="K220" s="10" t="str">
        <f t="shared" si="15"/>
        <v/>
      </c>
    </row>
    <row r="221" spans="1:11" ht="14.25" customHeight="1">
      <c r="A221" s="10" t="str">
        <f>IF(Settings!$B$4="","",IF(Settings!$B$4+ROW()-4&lt;EDATE(Settings!$B$4,12),Settings!$B$4+ROW()-4,""))</f>
        <v/>
      </c>
      <c r="B221" s="9" t="str">
        <f t="shared" si="12"/>
        <v/>
      </c>
      <c r="C221" s="10" t="str">
        <f>IF(A221="","",IF(DAY(A221)&gt;=Settings!$B$5,DATE(YEAR(A221),MONTH(A221),Settings!$B$5),DATE(YEAR(EDATE(A221,-1)),MONTH(EDATE(A221,-1)),Settings!$B$5)))</f>
        <v/>
      </c>
      <c r="D221" s="8"/>
      <c r="E221" s="10" t="str">
        <f t="shared" si="13"/>
        <v/>
      </c>
      <c r="F221" s="10" t="str">
        <f>IF(A221="","",K220+Settings!$B$8)</f>
        <v/>
      </c>
      <c r="G221" s="11" t="str">
        <f t="shared" si="14"/>
        <v/>
      </c>
      <c r="H221" s="12" t="str">
        <f>IF(G221="","",G221/Settings!$B$8)</f>
        <v/>
      </c>
      <c r="I221" s="38" t="str">
        <f>IF(H221="","",H221*Settings!$B$11)</f>
        <v/>
      </c>
      <c r="J221" s="40" t="str">
        <f>IF(E221="","",IF(E221="W","Weekly Reset",IF(H221&gt;=1,"Very High Benefit; High Unused-Allowance Risk",IF(H221&gt;Settings!$B$17,"Highly Beneficial; Allowance May Be Underused",IF(H221&gt;=Settings!$B$17,"Highly Beneficial",IF(H221&gt;=0.4,"Moderate",IF(H221&gt;0,"Low Benefit","No Advance Benefit")))))))</f>
        <v/>
      </c>
      <c r="K221" s="10" t="str">
        <f t="shared" si="15"/>
        <v/>
      </c>
    </row>
    <row r="222" spans="1:11" ht="14.25" customHeight="1">
      <c r="A222" s="10" t="str">
        <f>IF(Settings!$B$4="","",IF(Settings!$B$4+ROW()-4&lt;EDATE(Settings!$B$4,12),Settings!$B$4+ROW()-4,""))</f>
        <v/>
      </c>
      <c r="B222" s="9" t="str">
        <f t="shared" si="12"/>
        <v/>
      </c>
      <c r="C222" s="10" t="str">
        <f>IF(A222="","",IF(DAY(A222)&gt;=Settings!$B$5,DATE(YEAR(A222),MONTH(A222),Settings!$B$5),DATE(YEAR(EDATE(A222,-1)),MONTH(EDATE(A222,-1)),Settings!$B$5)))</f>
        <v/>
      </c>
      <c r="D222" s="8"/>
      <c r="E222" s="10" t="str">
        <f t="shared" si="13"/>
        <v/>
      </c>
      <c r="F222" s="10" t="str">
        <f>IF(A222="","",K221+Settings!$B$8)</f>
        <v/>
      </c>
      <c r="G222" s="11" t="str">
        <f t="shared" si="14"/>
        <v/>
      </c>
      <c r="H222" s="12" t="str">
        <f>IF(G222="","",G222/Settings!$B$8)</f>
        <v/>
      </c>
      <c r="I222" s="38" t="str">
        <f>IF(H222="","",H222*Settings!$B$11)</f>
        <v/>
      </c>
      <c r="J222" s="40" t="str">
        <f>IF(E222="","",IF(E222="W","Weekly Reset",IF(H222&gt;=1,"Very High Benefit; High Unused-Allowance Risk",IF(H222&gt;Settings!$B$17,"Highly Beneficial; Allowance May Be Underused",IF(H222&gt;=Settings!$B$17,"Highly Beneficial",IF(H222&gt;=0.4,"Moderate",IF(H222&gt;0,"Low Benefit","No Advance Benefit")))))))</f>
        <v/>
      </c>
      <c r="K222" s="10" t="str">
        <f t="shared" si="15"/>
        <v/>
      </c>
    </row>
    <row r="223" spans="1:11" ht="14.25" customHeight="1">
      <c r="A223" s="10" t="str">
        <f>IF(Settings!$B$4="","",IF(Settings!$B$4+ROW()-4&lt;EDATE(Settings!$B$4,12),Settings!$B$4+ROW()-4,""))</f>
        <v/>
      </c>
      <c r="B223" s="9" t="str">
        <f t="shared" si="12"/>
        <v/>
      </c>
      <c r="C223" s="10" t="str">
        <f>IF(A223="","",IF(DAY(A223)&gt;=Settings!$B$5,DATE(YEAR(A223),MONTH(A223),Settings!$B$5),DATE(YEAR(EDATE(A223,-1)),MONTH(EDATE(A223,-1)),Settings!$B$5)))</f>
        <v/>
      </c>
      <c r="D223" s="8"/>
      <c r="E223" s="10" t="str">
        <f t="shared" si="13"/>
        <v/>
      </c>
      <c r="F223" s="10" t="str">
        <f>IF(A223="","",K222+Settings!$B$8)</f>
        <v/>
      </c>
      <c r="G223" s="11" t="str">
        <f t="shared" si="14"/>
        <v/>
      </c>
      <c r="H223" s="12" t="str">
        <f>IF(G223="","",G223/Settings!$B$8)</f>
        <v/>
      </c>
      <c r="I223" s="38" t="str">
        <f>IF(H223="","",H223*Settings!$B$11)</f>
        <v/>
      </c>
      <c r="J223" s="40" t="str">
        <f>IF(E223="","",IF(E223="W","Weekly Reset",IF(H223&gt;=1,"Very High Benefit; High Unused-Allowance Risk",IF(H223&gt;Settings!$B$17,"Highly Beneficial; Allowance May Be Underused",IF(H223&gt;=Settings!$B$17,"Highly Beneficial",IF(H223&gt;=0.4,"Moderate",IF(H223&gt;0,"Low Benefit","No Advance Benefit")))))))</f>
        <v/>
      </c>
      <c r="K223" s="10" t="str">
        <f t="shared" si="15"/>
        <v/>
      </c>
    </row>
    <row r="224" spans="1:11" ht="14.25" customHeight="1">
      <c r="A224" s="10" t="str">
        <f>IF(Settings!$B$4="","",IF(Settings!$B$4+ROW()-4&lt;EDATE(Settings!$B$4,12),Settings!$B$4+ROW()-4,""))</f>
        <v/>
      </c>
      <c r="B224" s="9" t="str">
        <f t="shared" si="12"/>
        <v/>
      </c>
      <c r="C224" s="10" t="str">
        <f>IF(A224="","",IF(DAY(A224)&gt;=Settings!$B$5,DATE(YEAR(A224),MONTH(A224),Settings!$B$5),DATE(YEAR(EDATE(A224,-1)),MONTH(EDATE(A224,-1)),Settings!$B$5)))</f>
        <v/>
      </c>
      <c r="D224" s="8"/>
      <c r="E224" s="10" t="str">
        <f t="shared" si="13"/>
        <v/>
      </c>
      <c r="F224" s="10" t="str">
        <f>IF(A224="","",K223+Settings!$B$8)</f>
        <v/>
      </c>
      <c r="G224" s="11" t="str">
        <f t="shared" si="14"/>
        <v/>
      </c>
      <c r="H224" s="12" t="str">
        <f>IF(G224="","",G224/Settings!$B$8)</f>
        <v/>
      </c>
      <c r="I224" s="38" t="str">
        <f>IF(H224="","",H224*Settings!$B$11)</f>
        <v/>
      </c>
      <c r="J224" s="40" t="str">
        <f>IF(E224="","",IF(E224="W","Weekly Reset",IF(H224&gt;=1,"Very High Benefit; High Unused-Allowance Risk",IF(H224&gt;Settings!$B$17,"Highly Beneficial; Allowance May Be Underused",IF(H224&gt;=Settings!$B$17,"Highly Beneficial",IF(H224&gt;=0.4,"Moderate",IF(H224&gt;0,"Low Benefit","No Advance Benefit")))))))</f>
        <v/>
      </c>
      <c r="K224" s="10" t="str">
        <f t="shared" si="15"/>
        <v/>
      </c>
    </row>
    <row r="225" spans="1:11" ht="14.25" customHeight="1">
      <c r="A225" s="10" t="str">
        <f>IF(Settings!$B$4="","",IF(Settings!$B$4+ROW()-4&lt;EDATE(Settings!$B$4,12),Settings!$B$4+ROW()-4,""))</f>
        <v/>
      </c>
      <c r="B225" s="9" t="str">
        <f t="shared" si="12"/>
        <v/>
      </c>
      <c r="C225" s="10" t="str">
        <f>IF(A225="","",IF(DAY(A225)&gt;=Settings!$B$5,DATE(YEAR(A225),MONTH(A225),Settings!$B$5),DATE(YEAR(EDATE(A225,-1)),MONTH(EDATE(A225,-1)),Settings!$B$5)))</f>
        <v/>
      </c>
      <c r="D225" s="8"/>
      <c r="E225" s="10" t="str">
        <f t="shared" si="13"/>
        <v/>
      </c>
      <c r="F225" s="10" t="str">
        <f>IF(A225="","",K224+Settings!$B$8)</f>
        <v/>
      </c>
      <c r="G225" s="11" t="str">
        <f t="shared" si="14"/>
        <v/>
      </c>
      <c r="H225" s="12" t="str">
        <f>IF(G225="","",G225/Settings!$B$8)</f>
        <v/>
      </c>
      <c r="I225" s="38" t="str">
        <f>IF(H225="","",H225*Settings!$B$11)</f>
        <v/>
      </c>
      <c r="J225" s="40" t="str">
        <f>IF(E225="","",IF(E225="W","Weekly Reset",IF(H225&gt;=1,"Very High Benefit; High Unused-Allowance Risk",IF(H225&gt;Settings!$B$17,"Highly Beneficial; Allowance May Be Underused",IF(H225&gt;=Settings!$B$17,"Highly Beneficial",IF(H225&gt;=0.4,"Moderate",IF(H225&gt;0,"Low Benefit","No Advance Benefit")))))))</f>
        <v/>
      </c>
      <c r="K225" s="10" t="str">
        <f t="shared" si="15"/>
        <v/>
      </c>
    </row>
    <row r="226" spans="1:11" ht="14.25" customHeight="1">
      <c r="A226" s="10" t="str">
        <f>IF(Settings!$B$4="","",IF(Settings!$B$4+ROW()-4&lt;EDATE(Settings!$B$4,12),Settings!$B$4+ROW()-4,""))</f>
        <v/>
      </c>
      <c r="B226" s="9" t="str">
        <f t="shared" si="12"/>
        <v/>
      </c>
      <c r="C226" s="10" t="str">
        <f>IF(A226="","",IF(DAY(A226)&gt;=Settings!$B$5,DATE(YEAR(A226),MONTH(A226),Settings!$B$5),DATE(YEAR(EDATE(A226,-1)),MONTH(EDATE(A226,-1)),Settings!$B$5)))</f>
        <v/>
      </c>
      <c r="D226" s="8"/>
      <c r="E226" s="10" t="str">
        <f t="shared" si="13"/>
        <v/>
      </c>
      <c r="F226" s="10" t="str">
        <f>IF(A226="","",K225+Settings!$B$8)</f>
        <v/>
      </c>
      <c r="G226" s="11" t="str">
        <f t="shared" si="14"/>
        <v/>
      </c>
      <c r="H226" s="12" t="str">
        <f>IF(G226="","",G226/Settings!$B$8)</f>
        <v/>
      </c>
      <c r="I226" s="38" t="str">
        <f>IF(H226="","",H226*Settings!$B$11)</f>
        <v/>
      </c>
      <c r="J226" s="40" t="str">
        <f>IF(E226="","",IF(E226="W","Weekly Reset",IF(H226&gt;=1,"Very High Benefit; High Unused-Allowance Risk",IF(H226&gt;Settings!$B$17,"Highly Beneficial; Allowance May Be Underused",IF(H226&gt;=Settings!$B$17,"Highly Beneficial",IF(H226&gt;=0.4,"Moderate",IF(H226&gt;0,"Low Benefit","No Advance Benefit")))))))</f>
        <v/>
      </c>
      <c r="K226" s="10" t="str">
        <f t="shared" si="15"/>
        <v/>
      </c>
    </row>
    <row r="227" spans="1:11" ht="14.25" customHeight="1">
      <c r="A227" s="10" t="str">
        <f>IF(Settings!$B$4="","",IF(Settings!$B$4+ROW()-4&lt;EDATE(Settings!$B$4,12),Settings!$B$4+ROW()-4,""))</f>
        <v/>
      </c>
      <c r="B227" s="9" t="str">
        <f t="shared" si="12"/>
        <v/>
      </c>
      <c r="C227" s="10" t="str">
        <f>IF(A227="","",IF(DAY(A227)&gt;=Settings!$B$5,DATE(YEAR(A227),MONTH(A227),Settings!$B$5),DATE(YEAR(EDATE(A227,-1)),MONTH(EDATE(A227,-1)),Settings!$B$5)))</f>
        <v/>
      </c>
      <c r="D227" s="8"/>
      <c r="E227" s="10" t="str">
        <f t="shared" si="13"/>
        <v/>
      </c>
      <c r="F227" s="10" t="str">
        <f>IF(A227="","",K226+Settings!$B$8)</f>
        <v/>
      </c>
      <c r="G227" s="11" t="str">
        <f t="shared" si="14"/>
        <v/>
      </c>
      <c r="H227" s="12" t="str">
        <f>IF(G227="","",G227/Settings!$B$8)</f>
        <v/>
      </c>
      <c r="I227" s="38" t="str">
        <f>IF(H227="","",H227*Settings!$B$11)</f>
        <v/>
      </c>
      <c r="J227" s="40" t="str">
        <f>IF(E227="","",IF(E227="W","Weekly Reset",IF(H227&gt;=1,"Very High Benefit; High Unused-Allowance Risk",IF(H227&gt;Settings!$B$17,"Highly Beneficial; Allowance May Be Underused",IF(H227&gt;=Settings!$B$17,"Highly Beneficial",IF(H227&gt;=0.4,"Moderate",IF(H227&gt;0,"Low Benefit","No Advance Benefit")))))))</f>
        <v/>
      </c>
      <c r="K227" s="10" t="str">
        <f t="shared" si="15"/>
        <v/>
      </c>
    </row>
    <row r="228" spans="1:11" ht="14.25" customHeight="1">
      <c r="A228" s="10" t="str">
        <f>IF(Settings!$B$4="","",IF(Settings!$B$4+ROW()-4&lt;EDATE(Settings!$B$4,12),Settings!$B$4+ROW()-4,""))</f>
        <v/>
      </c>
      <c r="B228" s="9" t="str">
        <f t="shared" si="12"/>
        <v/>
      </c>
      <c r="C228" s="10" t="str">
        <f>IF(A228="","",IF(DAY(A228)&gt;=Settings!$B$5,DATE(YEAR(A228),MONTH(A228),Settings!$B$5),DATE(YEAR(EDATE(A228,-1)),MONTH(EDATE(A228,-1)),Settings!$B$5)))</f>
        <v/>
      </c>
      <c r="D228" s="8"/>
      <c r="E228" s="10" t="str">
        <f t="shared" si="13"/>
        <v/>
      </c>
      <c r="F228" s="10" t="str">
        <f>IF(A228="","",K227+Settings!$B$8)</f>
        <v/>
      </c>
      <c r="G228" s="11" t="str">
        <f t="shared" si="14"/>
        <v/>
      </c>
      <c r="H228" s="12" t="str">
        <f>IF(G228="","",G228/Settings!$B$8)</f>
        <v/>
      </c>
      <c r="I228" s="38" t="str">
        <f>IF(H228="","",H228*Settings!$B$11)</f>
        <v/>
      </c>
      <c r="J228" s="40" t="str">
        <f>IF(E228="","",IF(E228="W","Weekly Reset",IF(H228&gt;=1,"Very High Benefit; High Unused-Allowance Risk",IF(H228&gt;Settings!$B$17,"Highly Beneficial; Allowance May Be Underused",IF(H228&gt;=Settings!$B$17,"Highly Beneficial",IF(H228&gt;=0.4,"Moderate",IF(H228&gt;0,"Low Benefit","No Advance Benefit")))))))</f>
        <v/>
      </c>
      <c r="K228" s="10" t="str">
        <f t="shared" si="15"/>
        <v/>
      </c>
    </row>
    <row r="229" spans="1:11" ht="14.25" customHeight="1">
      <c r="A229" s="10" t="str">
        <f>IF(Settings!$B$4="","",IF(Settings!$B$4+ROW()-4&lt;EDATE(Settings!$B$4,12),Settings!$B$4+ROW()-4,""))</f>
        <v/>
      </c>
      <c r="B229" s="9" t="str">
        <f t="shared" si="12"/>
        <v/>
      </c>
      <c r="C229" s="10" t="str">
        <f>IF(A229="","",IF(DAY(A229)&gt;=Settings!$B$5,DATE(YEAR(A229),MONTH(A229),Settings!$B$5),DATE(YEAR(EDATE(A229,-1)),MONTH(EDATE(A229,-1)),Settings!$B$5)))</f>
        <v/>
      </c>
      <c r="D229" s="8"/>
      <c r="E229" s="10" t="str">
        <f t="shared" si="13"/>
        <v/>
      </c>
      <c r="F229" s="10" t="str">
        <f>IF(A229="","",K228+Settings!$B$8)</f>
        <v/>
      </c>
      <c r="G229" s="11" t="str">
        <f t="shared" si="14"/>
        <v/>
      </c>
      <c r="H229" s="12" t="str">
        <f>IF(G229="","",G229/Settings!$B$8)</f>
        <v/>
      </c>
      <c r="I229" s="38" t="str">
        <f>IF(H229="","",H229*Settings!$B$11)</f>
        <v/>
      </c>
      <c r="J229" s="40" t="str">
        <f>IF(E229="","",IF(E229="W","Weekly Reset",IF(H229&gt;=1,"Very High Benefit; High Unused-Allowance Risk",IF(H229&gt;Settings!$B$17,"Highly Beneficial; Allowance May Be Underused",IF(H229&gt;=Settings!$B$17,"Highly Beneficial",IF(H229&gt;=0.4,"Moderate",IF(H229&gt;0,"Low Benefit","No Advance Benefit")))))))</f>
        <v/>
      </c>
      <c r="K229" s="10" t="str">
        <f t="shared" si="15"/>
        <v/>
      </c>
    </row>
    <row r="230" spans="1:11" ht="14.25" customHeight="1">
      <c r="A230" s="10" t="str">
        <f>IF(Settings!$B$4="","",IF(Settings!$B$4+ROW()-4&lt;EDATE(Settings!$B$4,12),Settings!$B$4+ROW()-4,""))</f>
        <v/>
      </c>
      <c r="B230" s="9" t="str">
        <f t="shared" si="12"/>
        <v/>
      </c>
      <c r="C230" s="10" t="str">
        <f>IF(A230="","",IF(DAY(A230)&gt;=Settings!$B$5,DATE(YEAR(A230),MONTH(A230),Settings!$B$5),DATE(YEAR(EDATE(A230,-1)),MONTH(EDATE(A230,-1)),Settings!$B$5)))</f>
        <v/>
      </c>
      <c r="D230" s="8"/>
      <c r="E230" s="10" t="str">
        <f t="shared" si="13"/>
        <v/>
      </c>
      <c r="F230" s="10" t="str">
        <f>IF(A230="","",K229+Settings!$B$8)</f>
        <v/>
      </c>
      <c r="G230" s="11" t="str">
        <f t="shared" si="14"/>
        <v/>
      </c>
      <c r="H230" s="12" t="str">
        <f>IF(G230="","",G230/Settings!$B$8)</f>
        <v/>
      </c>
      <c r="I230" s="38" t="str">
        <f>IF(H230="","",H230*Settings!$B$11)</f>
        <v/>
      </c>
      <c r="J230" s="40" t="str">
        <f>IF(E230="","",IF(E230="W","Weekly Reset",IF(H230&gt;=1,"Very High Benefit; High Unused-Allowance Risk",IF(H230&gt;Settings!$B$17,"Highly Beneficial; Allowance May Be Underused",IF(H230&gt;=Settings!$B$17,"Highly Beneficial",IF(H230&gt;=0.4,"Moderate",IF(H230&gt;0,"Low Benefit","No Advance Benefit")))))))</f>
        <v/>
      </c>
      <c r="K230" s="10" t="str">
        <f t="shared" si="15"/>
        <v/>
      </c>
    </row>
    <row r="231" spans="1:11" ht="14.25" customHeight="1">
      <c r="A231" s="10" t="str">
        <f>IF(Settings!$B$4="","",IF(Settings!$B$4+ROW()-4&lt;EDATE(Settings!$B$4,12),Settings!$B$4+ROW()-4,""))</f>
        <v/>
      </c>
      <c r="B231" s="9" t="str">
        <f t="shared" si="12"/>
        <v/>
      </c>
      <c r="C231" s="10" t="str">
        <f>IF(A231="","",IF(DAY(A231)&gt;=Settings!$B$5,DATE(YEAR(A231),MONTH(A231),Settings!$B$5),DATE(YEAR(EDATE(A231,-1)),MONTH(EDATE(A231,-1)),Settings!$B$5)))</f>
        <v/>
      </c>
      <c r="D231" s="8"/>
      <c r="E231" s="10" t="str">
        <f t="shared" si="13"/>
        <v/>
      </c>
      <c r="F231" s="10" t="str">
        <f>IF(A231="","",K230+Settings!$B$8)</f>
        <v/>
      </c>
      <c r="G231" s="11" t="str">
        <f t="shared" si="14"/>
        <v/>
      </c>
      <c r="H231" s="12" t="str">
        <f>IF(G231="","",G231/Settings!$B$8)</f>
        <v/>
      </c>
      <c r="I231" s="38" t="str">
        <f>IF(H231="","",H231*Settings!$B$11)</f>
        <v/>
      </c>
      <c r="J231" s="40" t="str">
        <f>IF(E231="","",IF(E231="W","Weekly Reset",IF(H231&gt;=1,"Very High Benefit; High Unused-Allowance Risk",IF(H231&gt;Settings!$B$17,"Highly Beneficial; Allowance May Be Underused",IF(H231&gt;=Settings!$B$17,"Highly Beneficial",IF(H231&gt;=0.4,"Moderate",IF(H231&gt;0,"Low Benefit","No Advance Benefit")))))))</f>
        <v/>
      </c>
      <c r="K231" s="10" t="str">
        <f t="shared" si="15"/>
        <v/>
      </c>
    </row>
    <row r="232" spans="1:11" ht="14.25" customHeight="1">
      <c r="A232" s="10" t="str">
        <f>IF(Settings!$B$4="","",IF(Settings!$B$4+ROW()-4&lt;EDATE(Settings!$B$4,12),Settings!$B$4+ROW()-4,""))</f>
        <v/>
      </c>
      <c r="B232" s="9" t="str">
        <f t="shared" si="12"/>
        <v/>
      </c>
      <c r="C232" s="10" t="str">
        <f>IF(A232="","",IF(DAY(A232)&gt;=Settings!$B$5,DATE(YEAR(A232),MONTH(A232),Settings!$B$5),DATE(YEAR(EDATE(A232,-1)),MONTH(EDATE(A232,-1)),Settings!$B$5)))</f>
        <v/>
      </c>
      <c r="D232" s="8"/>
      <c r="E232" s="10" t="str">
        <f t="shared" si="13"/>
        <v/>
      </c>
      <c r="F232" s="10" t="str">
        <f>IF(A232="","",K231+Settings!$B$8)</f>
        <v/>
      </c>
      <c r="G232" s="11" t="str">
        <f t="shared" si="14"/>
        <v/>
      </c>
      <c r="H232" s="12" t="str">
        <f>IF(G232="","",G232/Settings!$B$8)</f>
        <v/>
      </c>
      <c r="I232" s="38" t="str">
        <f>IF(H232="","",H232*Settings!$B$11)</f>
        <v/>
      </c>
      <c r="J232" s="40" t="str">
        <f>IF(E232="","",IF(E232="W","Weekly Reset",IF(H232&gt;=1,"Very High Benefit; High Unused-Allowance Risk",IF(H232&gt;Settings!$B$17,"Highly Beneficial; Allowance May Be Underused",IF(H232&gt;=Settings!$B$17,"Highly Beneficial",IF(H232&gt;=0.4,"Moderate",IF(H232&gt;0,"Low Benefit","No Advance Benefit")))))))</f>
        <v/>
      </c>
      <c r="K232" s="10" t="str">
        <f t="shared" si="15"/>
        <v/>
      </c>
    </row>
    <row r="233" spans="1:11" ht="14.25" customHeight="1">
      <c r="A233" s="10" t="str">
        <f>IF(Settings!$B$4="","",IF(Settings!$B$4+ROW()-4&lt;EDATE(Settings!$B$4,12),Settings!$B$4+ROW()-4,""))</f>
        <v/>
      </c>
      <c r="B233" s="9" t="str">
        <f t="shared" si="12"/>
        <v/>
      </c>
      <c r="C233" s="10" t="str">
        <f>IF(A233="","",IF(DAY(A233)&gt;=Settings!$B$5,DATE(YEAR(A233),MONTH(A233),Settings!$B$5),DATE(YEAR(EDATE(A233,-1)),MONTH(EDATE(A233,-1)),Settings!$B$5)))</f>
        <v/>
      </c>
      <c r="D233" s="8"/>
      <c r="E233" s="10" t="str">
        <f t="shared" si="13"/>
        <v/>
      </c>
      <c r="F233" s="10" t="str">
        <f>IF(A233="","",K232+Settings!$B$8)</f>
        <v/>
      </c>
      <c r="G233" s="11" t="str">
        <f t="shared" si="14"/>
        <v/>
      </c>
      <c r="H233" s="12" t="str">
        <f>IF(G233="","",G233/Settings!$B$8)</f>
        <v/>
      </c>
      <c r="I233" s="38" t="str">
        <f>IF(H233="","",H233*Settings!$B$11)</f>
        <v/>
      </c>
      <c r="J233" s="40" t="str">
        <f>IF(E233="","",IF(E233="W","Weekly Reset",IF(H233&gt;=1,"Very High Benefit; High Unused-Allowance Risk",IF(H233&gt;Settings!$B$17,"Highly Beneficial; Allowance May Be Underused",IF(H233&gt;=Settings!$B$17,"Highly Beneficial",IF(H233&gt;=0.4,"Moderate",IF(H233&gt;0,"Low Benefit","No Advance Benefit")))))))</f>
        <v/>
      </c>
      <c r="K233" s="10" t="str">
        <f t="shared" si="15"/>
        <v/>
      </c>
    </row>
    <row r="234" spans="1:11" ht="14.25" customHeight="1">
      <c r="A234" s="10" t="str">
        <f>IF(Settings!$B$4="","",IF(Settings!$B$4+ROW()-4&lt;EDATE(Settings!$B$4,12),Settings!$B$4+ROW()-4,""))</f>
        <v/>
      </c>
      <c r="B234" s="9" t="str">
        <f t="shared" si="12"/>
        <v/>
      </c>
      <c r="C234" s="10" t="str">
        <f>IF(A234="","",IF(DAY(A234)&gt;=Settings!$B$5,DATE(YEAR(A234),MONTH(A234),Settings!$B$5),DATE(YEAR(EDATE(A234,-1)),MONTH(EDATE(A234,-1)),Settings!$B$5)))</f>
        <v/>
      </c>
      <c r="D234" s="8"/>
      <c r="E234" s="10" t="str">
        <f t="shared" si="13"/>
        <v/>
      </c>
      <c r="F234" s="10" t="str">
        <f>IF(A234="","",K233+Settings!$B$8)</f>
        <v/>
      </c>
      <c r="G234" s="11" t="str">
        <f t="shared" si="14"/>
        <v/>
      </c>
      <c r="H234" s="12" t="str">
        <f>IF(G234="","",G234/Settings!$B$8)</f>
        <v/>
      </c>
      <c r="I234" s="38" t="str">
        <f>IF(H234="","",H234*Settings!$B$11)</f>
        <v/>
      </c>
      <c r="J234" s="40" t="str">
        <f>IF(E234="","",IF(E234="W","Weekly Reset",IF(H234&gt;=1,"Very High Benefit; High Unused-Allowance Risk",IF(H234&gt;Settings!$B$17,"Highly Beneficial; Allowance May Be Underused",IF(H234&gt;=Settings!$B$17,"Highly Beneficial",IF(H234&gt;=0.4,"Moderate",IF(H234&gt;0,"Low Benefit","No Advance Benefit")))))))</f>
        <v/>
      </c>
      <c r="K234" s="10" t="str">
        <f t="shared" si="15"/>
        <v/>
      </c>
    </row>
    <row r="235" spans="1:11" ht="14.25" customHeight="1">
      <c r="A235" s="10" t="str">
        <f>IF(Settings!$B$4="","",IF(Settings!$B$4+ROW()-4&lt;EDATE(Settings!$B$4,12),Settings!$B$4+ROW()-4,""))</f>
        <v/>
      </c>
      <c r="B235" s="9" t="str">
        <f t="shared" si="12"/>
        <v/>
      </c>
      <c r="C235" s="10" t="str">
        <f>IF(A235="","",IF(DAY(A235)&gt;=Settings!$B$5,DATE(YEAR(A235),MONTH(A235),Settings!$B$5),DATE(YEAR(EDATE(A235,-1)),MONTH(EDATE(A235,-1)),Settings!$B$5)))</f>
        <v/>
      </c>
      <c r="D235" s="8"/>
      <c r="E235" s="10" t="str">
        <f t="shared" si="13"/>
        <v/>
      </c>
      <c r="F235" s="10" t="str">
        <f>IF(A235="","",K234+Settings!$B$8)</f>
        <v/>
      </c>
      <c r="G235" s="11" t="str">
        <f t="shared" si="14"/>
        <v/>
      </c>
      <c r="H235" s="12" t="str">
        <f>IF(G235="","",G235/Settings!$B$8)</f>
        <v/>
      </c>
      <c r="I235" s="38" t="str">
        <f>IF(H235="","",H235*Settings!$B$11)</f>
        <v/>
      </c>
      <c r="J235" s="40" t="str">
        <f>IF(E235="","",IF(E235="W","Weekly Reset",IF(H235&gt;=1,"Very High Benefit; High Unused-Allowance Risk",IF(H235&gt;Settings!$B$17,"Highly Beneficial; Allowance May Be Underused",IF(H235&gt;=Settings!$B$17,"Highly Beneficial",IF(H235&gt;=0.4,"Moderate",IF(H235&gt;0,"Low Benefit","No Advance Benefit")))))))</f>
        <v/>
      </c>
      <c r="K235" s="10" t="str">
        <f t="shared" si="15"/>
        <v/>
      </c>
    </row>
    <row r="236" spans="1:11" ht="14.25" customHeight="1">
      <c r="A236" s="10" t="str">
        <f>IF(Settings!$B$4="","",IF(Settings!$B$4+ROW()-4&lt;EDATE(Settings!$B$4,12),Settings!$B$4+ROW()-4,""))</f>
        <v/>
      </c>
      <c r="B236" s="9" t="str">
        <f t="shared" si="12"/>
        <v/>
      </c>
      <c r="C236" s="10" t="str">
        <f>IF(A236="","",IF(DAY(A236)&gt;=Settings!$B$5,DATE(YEAR(A236),MONTH(A236),Settings!$B$5),DATE(YEAR(EDATE(A236,-1)),MONTH(EDATE(A236,-1)),Settings!$B$5)))</f>
        <v/>
      </c>
      <c r="D236" s="8"/>
      <c r="E236" s="10" t="str">
        <f t="shared" si="13"/>
        <v/>
      </c>
      <c r="F236" s="10" t="str">
        <f>IF(A236="","",K235+Settings!$B$8)</f>
        <v/>
      </c>
      <c r="G236" s="11" t="str">
        <f t="shared" si="14"/>
        <v/>
      </c>
      <c r="H236" s="12" t="str">
        <f>IF(G236="","",G236/Settings!$B$8)</f>
        <v/>
      </c>
      <c r="I236" s="38" t="str">
        <f>IF(H236="","",H236*Settings!$B$11)</f>
        <v/>
      </c>
      <c r="J236" s="40" t="str">
        <f>IF(E236="","",IF(E236="W","Weekly Reset",IF(H236&gt;=1,"Very High Benefit; High Unused-Allowance Risk",IF(H236&gt;Settings!$B$17,"Highly Beneficial; Allowance May Be Underused",IF(H236&gt;=Settings!$B$17,"Highly Beneficial",IF(H236&gt;=0.4,"Moderate",IF(H236&gt;0,"Low Benefit","No Advance Benefit")))))))</f>
        <v/>
      </c>
      <c r="K236" s="10" t="str">
        <f t="shared" si="15"/>
        <v/>
      </c>
    </row>
    <row r="237" spans="1:11" ht="14.25" customHeight="1">
      <c r="A237" s="10" t="str">
        <f>IF(Settings!$B$4="","",IF(Settings!$B$4+ROW()-4&lt;EDATE(Settings!$B$4,12),Settings!$B$4+ROW()-4,""))</f>
        <v/>
      </c>
      <c r="B237" s="9" t="str">
        <f t="shared" si="12"/>
        <v/>
      </c>
      <c r="C237" s="10" t="str">
        <f>IF(A237="","",IF(DAY(A237)&gt;=Settings!$B$5,DATE(YEAR(A237),MONTH(A237),Settings!$B$5),DATE(YEAR(EDATE(A237,-1)),MONTH(EDATE(A237,-1)),Settings!$B$5)))</f>
        <v/>
      </c>
      <c r="D237" s="8"/>
      <c r="E237" s="10" t="str">
        <f t="shared" si="13"/>
        <v/>
      </c>
      <c r="F237" s="10" t="str">
        <f>IF(A237="","",K236+Settings!$B$8)</f>
        <v/>
      </c>
      <c r="G237" s="11" t="str">
        <f t="shared" si="14"/>
        <v/>
      </c>
      <c r="H237" s="12" t="str">
        <f>IF(G237="","",G237/Settings!$B$8)</f>
        <v/>
      </c>
      <c r="I237" s="38" t="str">
        <f>IF(H237="","",H237*Settings!$B$11)</f>
        <v/>
      </c>
      <c r="J237" s="40" t="str">
        <f>IF(E237="","",IF(E237="W","Weekly Reset",IF(H237&gt;=1,"Very High Benefit; High Unused-Allowance Risk",IF(H237&gt;Settings!$B$17,"Highly Beneficial; Allowance May Be Underused",IF(H237&gt;=Settings!$B$17,"Highly Beneficial",IF(H237&gt;=0.4,"Moderate",IF(H237&gt;0,"Low Benefit","No Advance Benefit")))))))</f>
        <v/>
      </c>
      <c r="K237" s="10" t="str">
        <f t="shared" si="15"/>
        <v/>
      </c>
    </row>
    <row r="238" spans="1:11" ht="14.25" customHeight="1">
      <c r="A238" s="10" t="str">
        <f>IF(Settings!$B$4="","",IF(Settings!$B$4+ROW()-4&lt;EDATE(Settings!$B$4,12),Settings!$B$4+ROW()-4,""))</f>
        <v/>
      </c>
      <c r="B238" s="9" t="str">
        <f t="shared" si="12"/>
        <v/>
      </c>
      <c r="C238" s="10" t="str">
        <f>IF(A238="","",IF(DAY(A238)&gt;=Settings!$B$5,DATE(YEAR(A238),MONTH(A238),Settings!$B$5),DATE(YEAR(EDATE(A238,-1)),MONTH(EDATE(A238,-1)),Settings!$B$5)))</f>
        <v/>
      </c>
      <c r="D238" s="8"/>
      <c r="E238" s="10" t="str">
        <f t="shared" si="13"/>
        <v/>
      </c>
      <c r="F238" s="10" t="str">
        <f>IF(A238="","",K237+Settings!$B$8)</f>
        <v/>
      </c>
      <c r="G238" s="11" t="str">
        <f t="shared" si="14"/>
        <v/>
      </c>
      <c r="H238" s="12" t="str">
        <f>IF(G238="","",G238/Settings!$B$8)</f>
        <v/>
      </c>
      <c r="I238" s="38" t="str">
        <f>IF(H238="","",H238*Settings!$B$11)</f>
        <v/>
      </c>
      <c r="J238" s="40" t="str">
        <f>IF(E238="","",IF(E238="W","Weekly Reset",IF(H238&gt;=1,"Very High Benefit; High Unused-Allowance Risk",IF(H238&gt;Settings!$B$17,"Highly Beneficial; Allowance May Be Underused",IF(H238&gt;=Settings!$B$17,"Highly Beneficial",IF(H238&gt;=0.4,"Moderate",IF(H238&gt;0,"Low Benefit","No Advance Benefit")))))))</f>
        <v/>
      </c>
      <c r="K238" s="10" t="str">
        <f t="shared" si="15"/>
        <v/>
      </c>
    </row>
    <row r="239" spans="1:11" ht="14.25" customHeight="1">
      <c r="A239" s="10" t="str">
        <f>IF(Settings!$B$4="","",IF(Settings!$B$4+ROW()-4&lt;EDATE(Settings!$B$4,12),Settings!$B$4+ROW()-4,""))</f>
        <v/>
      </c>
      <c r="B239" s="9" t="str">
        <f t="shared" si="12"/>
        <v/>
      </c>
      <c r="C239" s="10" t="str">
        <f>IF(A239="","",IF(DAY(A239)&gt;=Settings!$B$5,DATE(YEAR(A239),MONTH(A239),Settings!$B$5),DATE(YEAR(EDATE(A239,-1)),MONTH(EDATE(A239,-1)),Settings!$B$5)))</f>
        <v/>
      </c>
      <c r="D239" s="8"/>
      <c r="E239" s="10" t="str">
        <f t="shared" si="13"/>
        <v/>
      </c>
      <c r="F239" s="10" t="str">
        <f>IF(A239="","",K238+Settings!$B$8)</f>
        <v/>
      </c>
      <c r="G239" s="11" t="str">
        <f t="shared" si="14"/>
        <v/>
      </c>
      <c r="H239" s="12" t="str">
        <f>IF(G239="","",G239/Settings!$B$8)</f>
        <v/>
      </c>
      <c r="I239" s="38" t="str">
        <f>IF(H239="","",H239*Settings!$B$11)</f>
        <v/>
      </c>
      <c r="J239" s="40" t="str">
        <f>IF(E239="","",IF(E239="W","Weekly Reset",IF(H239&gt;=1,"Very High Benefit; High Unused-Allowance Risk",IF(H239&gt;Settings!$B$17,"Highly Beneficial; Allowance May Be Underused",IF(H239&gt;=Settings!$B$17,"Highly Beneficial",IF(H239&gt;=0.4,"Moderate",IF(H239&gt;0,"Low Benefit","No Advance Benefit")))))))</f>
        <v/>
      </c>
      <c r="K239" s="10" t="str">
        <f t="shared" si="15"/>
        <v/>
      </c>
    </row>
    <row r="240" spans="1:11" ht="14.25" customHeight="1">
      <c r="A240" s="10" t="str">
        <f>IF(Settings!$B$4="","",IF(Settings!$B$4+ROW()-4&lt;EDATE(Settings!$B$4,12),Settings!$B$4+ROW()-4,""))</f>
        <v/>
      </c>
      <c r="B240" s="9" t="str">
        <f t="shared" si="12"/>
        <v/>
      </c>
      <c r="C240" s="10" t="str">
        <f>IF(A240="","",IF(DAY(A240)&gt;=Settings!$B$5,DATE(YEAR(A240),MONTH(A240),Settings!$B$5),DATE(YEAR(EDATE(A240,-1)),MONTH(EDATE(A240,-1)),Settings!$B$5)))</f>
        <v/>
      </c>
      <c r="D240" s="8"/>
      <c r="E240" s="10" t="str">
        <f t="shared" si="13"/>
        <v/>
      </c>
      <c r="F240" s="10" t="str">
        <f>IF(A240="","",K239+Settings!$B$8)</f>
        <v/>
      </c>
      <c r="G240" s="11" t="str">
        <f t="shared" si="14"/>
        <v/>
      </c>
      <c r="H240" s="12" t="str">
        <f>IF(G240="","",G240/Settings!$B$8)</f>
        <v/>
      </c>
      <c r="I240" s="38" t="str">
        <f>IF(H240="","",H240*Settings!$B$11)</f>
        <v/>
      </c>
      <c r="J240" s="40" t="str">
        <f>IF(E240="","",IF(E240="W","Weekly Reset",IF(H240&gt;=1,"Very High Benefit; High Unused-Allowance Risk",IF(H240&gt;Settings!$B$17,"Highly Beneficial; Allowance May Be Underused",IF(H240&gt;=Settings!$B$17,"Highly Beneficial",IF(H240&gt;=0.4,"Moderate",IF(H240&gt;0,"Low Benefit","No Advance Benefit")))))))</f>
        <v/>
      </c>
      <c r="K240" s="10" t="str">
        <f t="shared" si="15"/>
        <v/>
      </c>
    </row>
    <row r="241" spans="1:11" ht="14.25" customHeight="1">
      <c r="A241" s="10" t="str">
        <f>IF(Settings!$B$4="","",IF(Settings!$B$4+ROW()-4&lt;EDATE(Settings!$B$4,12),Settings!$B$4+ROW()-4,""))</f>
        <v/>
      </c>
      <c r="B241" s="9" t="str">
        <f t="shared" si="12"/>
        <v/>
      </c>
      <c r="C241" s="10" t="str">
        <f>IF(A241="","",IF(DAY(A241)&gt;=Settings!$B$5,DATE(YEAR(A241),MONTH(A241),Settings!$B$5),DATE(YEAR(EDATE(A241,-1)),MONTH(EDATE(A241,-1)),Settings!$B$5)))</f>
        <v/>
      </c>
      <c r="D241" s="8"/>
      <c r="E241" s="10" t="str">
        <f t="shared" si="13"/>
        <v/>
      </c>
      <c r="F241" s="10" t="str">
        <f>IF(A241="","",K240+Settings!$B$8)</f>
        <v/>
      </c>
      <c r="G241" s="11" t="str">
        <f t="shared" si="14"/>
        <v/>
      </c>
      <c r="H241" s="12" t="str">
        <f>IF(G241="","",G241/Settings!$B$8)</f>
        <v/>
      </c>
      <c r="I241" s="38" t="str">
        <f>IF(H241="","",H241*Settings!$B$11)</f>
        <v/>
      </c>
      <c r="J241" s="40" t="str">
        <f>IF(E241="","",IF(E241="W","Weekly Reset",IF(H241&gt;=1,"Very High Benefit; High Unused-Allowance Risk",IF(H241&gt;Settings!$B$17,"Highly Beneficial; Allowance May Be Underused",IF(H241&gt;=Settings!$B$17,"Highly Beneficial",IF(H241&gt;=0.4,"Moderate",IF(H241&gt;0,"Low Benefit","No Advance Benefit")))))))</f>
        <v/>
      </c>
      <c r="K241" s="10" t="str">
        <f t="shared" si="15"/>
        <v/>
      </c>
    </row>
    <row r="242" spans="1:11" ht="14.25" customHeight="1">
      <c r="A242" s="10" t="str">
        <f>IF(Settings!$B$4="","",IF(Settings!$B$4+ROW()-4&lt;EDATE(Settings!$B$4,12),Settings!$B$4+ROW()-4,""))</f>
        <v/>
      </c>
      <c r="B242" s="9" t="str">
        <f t="shared" si="12"/>
        <v/>
      </c>
      <c r="C242" s="10" t="str">
        <f>IF(A242="","",IF(DAY(A242)&gt;=Settings!$B$5,DATE(YEAR(A242),MONTH(A242),Settings!$B$5),DATE(YEAR(EDATE(A242,-1)),MONTH(EDATE(A242,-1)),Settings!$B$5)))</f>
        <v/>
      </c>
      <c r="D242" s="8"/>
      <c r="E242" s="10" t="str">
        <f t="shared" si="13"/>
        <v/>
      </c>
      <c r="F242" s="10" t="str">
        <f>IF(A242="","",K241+Settings!$B$8)</f>
        <v/>
      </c>
      <c r="G242" s="11" t="str">
        <f t="shared" si="14"/>
        <v/>
      </c>
      <c r="H242" s="12" t="str">
        <f>IF(G242="","",G242/Settings!$B$8)</f>
        <v/>
      </c>
      <c r="I242" s="38" t="str">
        <f>IF(H242="","",H242*Settings!$B$11)</f>
        <v/>
      </c>
      <c r="J242" s="40" t="str">
        <f>IF(E242="","",IF(E242="W","Weekly Reset",IF(H242&gt;=1,"Very High Benefit; High Unused-Allowance Risk",IF(H242&gt;Settings!$B$17,"Highly Beneficial; Allowance May Be Underused",IF(H242&gt;=Settings!$B$17,"Highly Beneficial",IF(H242&gt;=0.4,"Moderate",IF(H242&gt;0,"Low Benefit","No Advance Benefit")))))))</f>
        <v/>
      </c>
      <c r="K242" s="10" t="str">
        <f t="shared" si="15"/>
        <v/>
      </c>
    </row>
    <row r="243" spans="1:11" ht="14.25" customHeight="1">
      <c r="A243" s="10" t="str">
        <f>IF(Settings!$B$4="","",IF(Settings!$B$4+ROW()-4&lt;EDATE(Settings!$B$4,12),Settings!$B$4+ROW()-4,""))</f>
        <v/>
      </c>
      <c r="B243" s="9" t="str">
        <f t="shared" si="12"/>
        <v/>
      </c>
      <c r="C243" s="10" t="str">
        <f>IF(A243="","",IF(DAY(A243)&gt;=Settings!$B$5,DATE(YEAR(A243),MONTH(A243),Settings!$B$5),DATE(YEAR(EDATE(A243,-1)),MONTH(EDATE(A243,-1)),Settings!$B$5)))</f>
        <v/>
      </c>
      <c r="D243" s="8"/>
      <c r="E243" s="10" t="str">
        <f t="shared" si="13"/>
        <v/>
      </c>
      <c r="F243" s="10" t="str">
        <f>IF(A243="","",K242+Settings!$B$8)</f>
        <v/>
      </c>
      <c r="G243" s="11" t="str">
        <f t="shared" si="14"/>
        <v/>
      </c>
      <c r="H243" s="12" t="str">
        <f>IF(G243="","",G243/Settings!$B$8)</f>
        <v/>
      </c>
      <c r="I243" s="38" t="str">
        <f>IF(H243="","",H243*Settings!$B$11)</f>
        <v/>
      </c>
      <c r="J243" s="40" t="str">
        <f>IF(E243="","",IF(E243="W","Weekly Reset",IF(H243&gt;=1,"Very High Benefit; High Unused-Allowance Risk",IF(H243&gt;Settings!$B$17,"Highly Beneficial; Allowance May Be Underused",IF(H243&gt;=Settings!$B$17,"Highly Beneficial",IF(H243&gt;=0.4,"Moderate",IF(H243&gt;0,"Low Benefit","No Advance Benefit")))))))</f>
        <v/>
      </c>
      <c r="K243" s="10" t="str">
        <f t="shared" si="15"/>
        <v/>
      </c>
    </row>
    <row r="244" spans="1:11" ht="14.25" customHeight="1">
      <c r="A244" s="10" t="str">
        <f>IF(Settings!$B$4="","",IF(Settings!$B$4+ROW()-4&lt;EDATE(Settings!$B$4,12),Settings!$B$4+ROW()-4,""))</f>
        <v/>
      </c>
      <c r="B244" s="9" t="str">
        <f t="shared" si="12"/>
        <v/>
      </c>
      <c r="C244" s="10" t="str">
        <f>IF(A244="","",IF(DAY(A244)&gt;=Settings!$B$5,DATE(YEAR(A244),MONTH(A244),Settings!$B$5),DATE(YEAR(EDATE(A244,-1)),MONTH(EDATE(A244,-1)),Settings!$B$5)))</f>
        <v/>
      </c>
      <c r="D244" s="8"/>
      <c r="E244" s="10" t="str">
        <f t="shared" si="13"/>
        <v/>
      </c>
      <c r="F244" s="10" t="str">
        <f>IF(A244="","",K243+Settings!$B$8)</f>
        <v/>
      </c>
      <c r="G244" s="11" t="str">
        <f t="shared" si="14"/>
        <v/>
      </c>
      <c r="H244" s="12" t="str">
        <f>IF(G244="","",G244/Settings!$B$8)</f>
        <v/>
      </c>
      <c r="I244" s="38" t="str">
        <f>IF(H244="","",H244*Settings!$B$11)</f>
        <v/>
      </c>
      <c r="J244" s="40" t="str">
        <f>IF(E244="","",IF(E244="W","Weekly Reset",IF(H244&gt;=1,"Very High Benefit; High Unused-Allowance Risk",IF(H244&gt;Settings!$B$17,"Highly Beneficial; Allowance May Be Underused",IF(H244&gt;=Settings!$B$17,"Highly Beneficial",IF(H244&gt;=0.4,"Moderate",IF(H244&gt;0,"Low Benefit","No Advance Benefit")))))))</f>
        <v/>
      </c>
      <c r="K244" s="10" t="str">
        <f t="shared" si="15"/>
        <v/>
      </c>
    </row>
    <row r="245" spans="1:11" ht="14.25" customHeight="1">
      <c r="A245" s="10" t="str">
        <f>IF(Settings!$B$4="","",IF(Settings!$B$4+ROW()-4&lt;EDATE(Settings!$B$4,12),Settings!$B$4+ROW()-4,""))</f>
        <v/>
      </c>
      <c r="B245" s="9" t="str">
        <f t="shared" si="12"/>
        <v/>
      </c>
      <c r="C245" s="10" t="str">
        <f>IF(A245="","",IF(DAY(A245)&gt;=Settings!$B$5,DATE(YEAR(A245),MONTH(A245),Settings!$B$5),DATE(YEAR(EDATE(A245,-1)),MONTH(EDATE(A245,-1)),Settings!$B$5)))</f>
        <v/>
      </c>
      <c r="D245" s="8"/>
      <c r="E245" s="10" t="str">
        <f t="shared" si="13"/>
        <v/>
      </c>
      <c r="F245" s="10" t="str">
        <f>IF(A245="","",K244+Settings!$B$8)</f>
        <v/>
      </c>
      <c r="G245" s="11" t="str">
        <f t="shared" si="14"/>
        <v/>
      </c>
      <c r="H245" s="12" t="str">
        <f>IF(G245="","",G245/Settings!$B$8)</f>
        <v/>
      </c>
      <c r="I245" s="38" t="str">
        <f>IF(H245="","",H245*Settings!$B$11)</f>
        <v/>
      </c>
      <c r="J245" s="40" t="str">
        <f>IF(E245="","",IF(E245="W","Weekly Reset",IF(H245&gt;=1,"Very High Benefit; High Unused-Allowance Risk",IF(H245&gt;Settings!$B$17,"Highly Beneficial; Allowance May Be Underused",IF(H245&gt;=Settings!$B$17,"Highly Beneficial",IF(H245&gt;=0.4,"Moderate",IF(H245&gt;0,"Low Benefit","No Advance Benefit")))))))</f>
        <v/>
      </c>
      <c r="K245" s="10" t="str">
        <f t="shared" si="15"/>
        <v/>
      </c>
    </row>
    <row r="246" spans="1:11" ht="14.25" customHeight="1">
      <c r="A246" s="10" t="str">
        <f>IF(Settings!$B$4="","",IF(Settings!$B$4+ROW()-4&lt;EDATE(Settings!$B$4,12),Settings!$B$4+ROW()-4,""))</f>
        <v/>
      </c>
      <c r="B246" s="9" t="str">
        <f t="shared" si="12"/>
        <v/>
      </c>
      <c r="C246" s="10" t="str">
        <f>IF(A246="","",IF(DAY(A246)&gt;=Settings!$B$5,DATE(YEAR(A246),MONTH(A246),Settings!$B$5),DATE(YEAR(EDATE(A246,-1)),MONTH(EDATE(A246,-1)),Settings!$B$5)))</f>
        <v/>
      </c>
      <c r="D246" s="8"/>
      <c r="E246" s="10" t="str">
        <f t="shared" si="13"/>
        <v/>
      </c>
      <c r="F246" s="10" t="str">
        <f>IF(A246="","",K245+Settings!$B$8)</f>
        <v/>
      </c>
      <c r="G246" s="11" t="str">
        <f t="shared" si="14"/>
        <v/>
      </c>
      <c r="H246" s="12" t="str">
        <f>IF(G246="","",G246/Settings!$B$8)</f>
        <v/>
      </c>
      <c r="I246" s="38" t="str">
        <f>IF(H246="","",H246*Settings!$B$11)</f>
        <v/>
      </c>
      <c r="J246" s="40" t="str">
        <f>IF(E246="","",IF(E246="W","Weekly Reset",IF(H246&gt;=1,"Very High Benefit; High Unused-Allowance Risk",IF(H246&gt;Settings!$B$17,"Highly Beneficial; Allowance May Be Underused",IF(H246&gt;=Settings!$B$17,"Highly Beneficial",IF(H246&gt;=0.4,"Moderate",IF(H246&gt;0,"Low Benefit","No Advance Benefit")))))))</f>
        <v/>
      </c>
      <c r="K246" s="10" t="str">
        <f t="shared" si="15"/>
        <v/>
      </c>
    </row>
    <row r="247" spans="1:11" ht="14.25" customHeight="1">
      <c r="A247" s="10" t="str">
        <f>IF(Settings!$B$4="","",IF(Settings!$B$4+ROW()-4&lt;EDATE(Settings!$B$4,12),Settings!$B$4+ROW()-4,""))</f>
        <v/>
      </c>
      <c r="B247" s="9" t="str">
        <f t="shared" si="12"/>
        <v/>
      </c>
      <c r="C247" s="10" t="str">
        <f>IF(A247="","",IF(DAY(A247)&gt;=Settings!$B$5,DATE(YEAR(A247),MONTH(A247),Settings!$B$5),DATE(YEAR(EDATE(A247,-1)),MONTH(EDATE(A247,-1)),Settings!$B$5)))</f>
        <v/>
      </c>
      <c r="D247" s="8"/>
      <c r="E247" s="10" t="str">
        <f t="shared" si="13"/>
        <v/>
      </c>
      <c r="F247" s="10" t="str">
        <f>IF(A247="","",K246+Settings!$B$8)</f>
        <v/>
      </c>
      <c r="G247" s="11" t="str">
        <f t="shared" si="14"/>
        <v/>
      </c>
      <c r="H247" s="12" t="str">
        <f>IF(G247="","",G247/Settings!$B$8)</f>
        <v/>
      </c>
      <c r="I247" s="38" t="str">
        <f>IF(H247="","",H247*Settings!$B$11)</f>
        <v/>
      </c>
      <c r="J247" s="40" t="str">
        <f>IF(E247="","",IF(E247="W","Weekly Reset",IF(H247&gt;=1,"Very High Benefit; High Unused-Allowance Risk",IF(H247&gt;Settings!$B$17,"Highly Beneficial; Allowance May Be Underused",IF(H247&gt;=Settings!$B$17,"Highly Beneficial",IF(H247&gt;=0.4,"Moderate",IF(H247&gt;0,"Low Benefit","No Advance Benefit")))))))</f>
        <v/>
      </c>
      <c r="K247" s="10" t="str">
        <f t="shared" si="15"/>
        <v/>
      </c>
    </row>
    <row r="248" spans="1:11" ht="14.25" customHeight="1">
      <c r="A248" s="10" t="str">
        <f>IF(Settings!$B$4="","",IF(Settings!$B$4+ROW()-4&lt;EDATE(Settings!$B$4,12),Settings!$B$4+ROW()-4,""))</f>
        <v/>
      </c>
      <c r="B248" s="9" t="str">
        <f t="shared" si="12"/>
        <v/>
      </c>
      <c r="C248" s="10" t="str">
        <f>IF(A248="","",IF(DAY(A248)&gt;=Settings!$B$5,DATE(YEAR(A248),MONTH(A248),Settings!$B$5),DATE(YEAR(EDATE(A248,-1)),MONTH(EDATE(A248,-1)),Settings!$B$5)))</f>
        <v/>
      </c>
      <c r="D248" s="8"/>
      <c r="E248" s="10" t="str">
        <f t="shared" si="13"/>
        <v/>
      </c>
      <c r="F248" s="10" t="str">
        <f>IF(A248="","",K247+Settings!$B$8)</f>
        <v/>
      </c>
      <c r="G248" s="11" t="str">
        <f t="shared" si="14"/>
        <v/>
      </c>
      <c r="H248" s="12" t="str">
        <f>IF(G248="","",G248/Settings!$B$8)</f>
        <v/>
      </c>
      <c r="I248" s="38" t="str">
        <f>IF(H248="","",H248*Settings!$B$11)</f>
        <v/>
      </c>
      <c r="J248" s="40" t="str">
        <f>IF(E248="","",IF(E248="W","Weekly Reset",IF(H248&gt;=1,"Very High Benefit; High Unused-Allowance Risk",IF(H248&gt;Settings!$B$17,"Highly Beneficial; Allowance May Be Underused",IF(H248&gt;=Settings!$B$17,"Highly Beneficial",IF(H248&gt;=0.4,"Moderate",IF(H248&gt;0,"Low Benefit","No Advance Benefit")))))))</f>
        <v/>
      </c>
      <c r="K248" s="10" t="str">
        <f t="shared" si="15"/>
        <v/>
      </c>
    </row>
    <row r="249" spans="1:11" ht="14.25" customHeight="1">
      <c r="A249" s="10" t="str">
        <f>IF(Settings!$B$4="","",IF(Settings!$B$4+ROW()-4&lt;EDATE(Settings!$B$4,12),Settings!$B$4+ROW()-4,""))</f>
        <v/>
      </c>
      <c r="B249" s="9" t="str">
        <f t="shared" si="12"/>
        <v/>
      </c>
      <c r="C249" s="10" t="str">
        <f>IF(A249="","",IF(DAY(A249)&gt;=Settings!$B$5,DATE(YEAR(A249),MONTH(A249),Settings!$B$5),DATE(YEAR(EDATE(A249,-1)),MONTH(EDATE(A249,-1)),Settings!$B$5)))</f>
        <v/>
      </c>
      <c r="D249" s="8"/>
      <c r="E249" s="10" t="str">
        <f t="shared" si="13"/>
        <v/>
      </c>
      <c r="F249" s="10" t="str">
        <f>IF(A249="","",K248+Settings!$B$8)</f>
        <v/>
      </c>
      <c r="G249" s="11" t="str">
        <f t="shared" si="14"/>
        <v/>
      </c>
      <c r="H249" s="12" t="str">
        <f>IF(G249="","",G249/Settings!$B$8)</f>
        <v/>
      </c>
      <c r="I249" s="38" t="str">
        <f>IF(H249="","",H249*Settings!$B$11)</f>
        <v/>
      </c>
      <c r="J249" s="40" t="str">
        <f>IF(E249="","",IF(E249="W","Weekly Reset",IF(H249&gt;=1,"Very High Benefit; High Unused-Allowance Risk",IF(H249&gt;Settings!$B$17,"Highly Beneficial; Allowance May Be Underused",IF(H249&gt;=Settings!$B$17,"Highly Beneficial",IF(H249&gt;=0.4,"Moderate",IF(H249&gt;0,"Low Benefit","No Advance Benefit")))))))</f>
        <v/>
      </c>
      <c r="K249" s="10" t="str">
        <f t="shared" si="15"/>
        <v/>
      </c>
    </row>
    <row r="250" spans="1:11" ht="14.25" customHeight="1">
      <c r="A250" s="10" t="str">
        <f>IF(Settings!$B$4="","",IF(Settings!$B$4+ROW()-4&lt;EDATE(Settings!$B$4,12),Settings!$B$4+ROW()-4,""))</f>
        <v/>
      </c>
      <c r="B250" s="9" t="str">
        <f t="shared" si="12"/>
        <v/>
      </c>
      <c r="C250" s="10" t="str">
        <f>IF(A250="","",IF(DAY(A250)&gt;=Settings!$B$5,DATE(YEAR(A250),MONTH(A250),Settings!$B$5),DATE(YEAR(EDATE(A250,-1)),MONTH(EDATE(A250,-1)),Settings!$B$5)))</f>
        <v/>
      </c>
      <c r="D250" s="8"/>
      <c r="E250" s="10" t="str">
        <f t="shared" si="13"/>
        <v/>
      </c>
      <c r="F250" s="10" t="str">
        <f>IF(A250="","",K249+Settings!$B$8)</f>
        <v/>
      </c>
      <c r="G250" s="11" t="str">
        <f t="shared" si="14"/>
        <v/>
      </c>
      <c r="H250" s="12" t="str">
        <f>IF(G250="","",G250/Settings!$B$8)</f>
        <v/>
      </c>
      <c r="I250" s="38" t="str">
        <f>IF(H250="","",H250*Settings!$B$11)</f>
        <v/>
      </c>
      <c r="J250" s="40" t="str">
        <f>IF(E250="","",IF(E250="W","Weekly Reset",IF(H250&gt;=1,"Very High Benefit; High Unused-Allowance Risk",IF(H250&gt;Settings!$B$17,"Highly Beneficial; Allowance May Be Underused",IF(H250&gt;=Settings!$B$17,"Highly Beneficial",IF(H250&gt;=0.4,"Moderate",IF(H250&gt;0,"Low Benefit","No Advance Benefit")))))))</f>
        <v/>
      </c>
      <c r="K250" s="10" t="str">
        <f t="shared" si="15"/>
        <v/>
      </c>
    </row>
    <row r="251" spans="1:11" ht="14.25" customHeight="1">
      <c r="A251" s="10" t="str">
        <f>IF(Settings!$B$4="","",IF(Settings!$B$4+ROW()-4&lt;EDATE(Settings!$B$4,12),Settings!$B$4+ROW()-4,""))</f>
        <v/>
      </c>
      <c r="B251" s="9" t="str">
        <f t="shared" si="12"/>
        <v/>
      </c>
      <c r="C251" s="10" t="str">
        <f>IF(A251="","",IF(DAY(A251)&gt;=Settings!$B$5,DATE(YEAR(A251),MONTH(A251),Settings!$B$5),DATE(YEAR(EDATE(A251,-1)),MONTH(EDATE(A251,-1)),Settings!$B$5)))</f>
        <v/>
      </c>
      <c r="D251" s="8"/>
      <c r="E251" s="10" t="str">
        <f t="shared" si="13"/>
        <v/>
      </c>
      <c r="F251" s="10" t="str">
        <f>IF(A251="","",K250+Settings!$B$8)</f>
        <v/>
      </c>
      <c r="G251" s="11" t="str">
        <f t="shared" si="14"/>
        <v/>
      </c>
      <c r="H251" s="12" t="str">
        <f>IF(G251="","",G251/Settings!$B$8)</f>
        <v/>
      </c>
      <c r="I251" s="38" t="str">
        <f>IF(H251="","",H251*Settings!$B$11)</f>
        <v/>
      </c>
      <c r="J251" s="40" t="str">
        <f>IF(E251="","",IF(E251="W","Weekly Reset",IF(H251&gt;=1,"Very High Benefit; High Unused-Allowance Risk",IF(H251&gt;Settings!$B$17,"Highly Beneficial; Allowance May Be Underused",IF(H251&gt;=Settings!$B$17,"Highly Beneficial",IF(H251&gt;=0.4,"Moderate",IF(H251&gt;0,"Low Benefit","No Advance Benefit")))))))</f>
        <v/>
      </c>
      <c r="K251" s="10" t="str">
        <f t="shared" si="15"/>
        <v/>
      </c>
    </row>
    <row r="252" spans="1:11" ht="14.25" customHeight="1">
      <c r="A252" s="10" t="str">
        <f>IF(Settings!$B$4="","",IF(Settings!$B$4+ROW()-4&lt;EDATE(Settings!$B$4,12),Settings!$B$4+ROW()-4,""))</f>
        <v/>
      </c>
      <c r="B252" s="9" t="str">
        <f t="shared" si="12"/>
        <v/>
      </c>
      <c r="C252" s="10" t="str">
        <f>IF(A252="","",IF(DAY(A252)&gt;=Settings!$B$5,DATE(YEAR(A252),MONTH(A252),Settings!$B$5),DATE(YEAR(EDATE(A252,-1)),MONTH(EDATE(A252,-1)),Settings!$B$5)))</f>
        <v/>
      </c>
      <c r="D252" s="8"/>
      <c r="E252" s="10" t="str">
        <f t="shared" si="13"/>
        <v/>
      </c>
      <c r="F252" s="10" t="str">
        <f>IF(A252="","",K251+Settings!$B$8)</f>
        <v/>
      </c>
      <c r="G252" s="11" t="str">
        <f t="shared" si="14"/>
        <v/>
      </c>
      <c r="H252" s="12" t="str">
        <f>IF(G252="","",G252/Settings!$B$8)</f>
        <v/>
      </c>
      <c r="I252" s="38" t="str">
        <f>IF(H252="","",H252*Settings!$B$11)</f>
        <v/>
      </c>
      <c r="J252" s="40" t="str">
        <f>IF(E252="","",IF(E252="W","Weekly Reset",IF(H252&gt;=1,"Very High Benefit; High Unused-Allowance Risk",IF(H252&gt;Settings!$B$17,"Highly Beneficial; Allowance May Be Underused",IF(H252&gt;=Settings!$B$17,"Highly Beneficial",IF(H252&gt;=0.4,"Moderate",IF(H252&gt;0,"Low Benefit","No Advance Benefit")))))))</f>
        <v/>
      </c>
      <c r="K252" s="10" t="str">
        <f t="shared" si="15"/>
        <v/>
      </c>
    </row>
    <row r="253" spans="1:11" ht="14.25" customHeight="1">
      <c r="A253" s="10" t="str">
        <f>IF(Settings!$B$4="","",IF(Settings!$B$4+ROW()-4&lt;EDATE(Settings!$B$4,12),Settings!$B$4+ROW()-4,""))</f>
        <v/>
      </c>
      <c r="B253" s="9" t="str">
        <f t="shared" si="12"/>
        <v/>
      </c>
      <c r="C253" s="10" t="str">
        <f>IF(A253="","",IF(DAY(A253)&gt;=Settings!$B$5,DATE(YEAR(A253),MONTH(A253),Settings!$B$5),DATE(YEAR(EDATE(A253,-1)),MONTH(EDATE(A253,-1)),Settings!$B$5)))</f>
        <v/>
      </c>
      <c r="D253" s="8"/>
      <c r="E253" s="10" t="str">
        <f t="shared" si="13"/>
        <v/>
      </c>
      <c r="F253" s="10" t="str">
        <f>IF(A253="","",K252+Settings!$B$8)</f>
        <v/>
      </c>
      <c r="G253" s="11" t="str">
        <f t="shared" si="14"/>
        <v/>
      </c>
      <c r="H253" s="12" t="str">
        <f>IF(G253="","",G253/Settings!$B$8)</f>
        <v/>
      </c>
      <c r="I253" s="38" t="str">
        <f>IF(H253="","",H253*Settings!$B$11)</f>
        <v/>
      </c>
      <c r="J253" s="40" t="str">
        <f>IF(E253="","",IF(E253="W","Weekly Reset",IF(H253&gt;=1,"Very High Benefit; High Unused-Allowance Risk",IF(H253&gt;Settings!$B$17,"Highly Beneficial; Allowance May Be Underused",IF(H253&gt;=Settings!$B$17,"Highly Beneficial",IF(H253&gt;=0.4,"Moderate",IF(H253&gt;0,"Low Benefit","No Advance Benefit")))))))</f>
        <v/>
      </c>
      <c r="K253" s="10" t="str">
        <f t="shared" si="15"/>
        <v/>
      </c>
    </row>
    <row r="254" spans="1:11" ht="14.25" customHeight="1">
      <c r="A254" s="10" t="str">
        <f>IF(Settings!$B$4="","",IF(Settings!$B$4+ROW()-4&lt;EDATE(Settings!$B$4,12),Settings!$B$4+ROW()-4,""))</f>
        <v/>
      </c>
      <c r="B254" s="9" t="str">
        <f t="shared" si="12"/>
        <v/>
      </c>
      <c r="C254" s="10" t="str">
        <f>IF(A254="","",IF(DAY(A254)&gt;=Settings!$B$5,DATE(YEAR(A254),MONTH(A254),Settings!$B$5),DATE(YEAR(EDATE(A254,-1)),MONTH(EDATE(A254,-1)),Settings!$B$5)))</f>
        <v/>
      </c>
      <c r="D254" s="8"/>
      <c r="E254" s="10" t="str">
        <f t="shared" si="13"/>
        <v/>
      </c>
      <c r="F254" s="10" t="str">
        <f>IF(A254="","",K253+Settings!$B$8)</f>
        <v/>
      </c>
      <c r="G254" s="11" t="str">
        <f t="shared" si="14"/>
        <v/>
      </c>
      <c r="H254" s="12" t="str">
        <f>IF(G254="","",G254/Settings!$B$8)</f>
        <v/>
      </c>
      <c r="I254" s="38" t="str">
        <f>IF(H254="","",H254*Settings!$B$11)</f>
        <v/>
      </c>
      <c r="J254" s="40" t="str">
        <f>IF(E254="","",IF(E254="W","Weekly Reset",IF(H254&gt;=1,"Very High Benefit; High Unused-Allowance Risk",IF(H254&gt;Settings!$B$17,"Highly Beneficial; Allowance May Be Underused",IF(H254&gt;=Settings!$B$17,"Highly Beneficial",IF(H254&gt;=0.4,"Moderate",IF(H254&gt;0,"Low Benefit","No Advance Benefit")))))))</f>
        <v/>
      </c>
      <c r="K254" s="10" t="str">
        <f t="shared" si="15"/>
        <v/>
      </c>
    </row>
    <row r="255" spans="1:11" ht="14.25" customHeight="1">
      <c r="A255" s="10" t="str">
        <f>IF(Settings!$B$4="","",IF(Settings!$B$4+ROW()-4&lt;EDATE(Settings!$B$4,12),Settings!$B$4+ROW()-4,""))</f>
        <v/>
      </c>
      <c r="B255" s="9" t="str">
        <f t="shared" si="12"/>
        <v/>
      </c>
      <c r="C255" s="10" t="str">
        <f>IF(A255="","",IF(DAY(A255)&gt;=Settings!$B$5,DATE(YEAR(A255),MONTH(A255),Settings!$B$5),DATE(YEAR(EDATE(A255,-1)),MONTH(EDATE(A255,-1)),Settings!$B$5)))</f>
        <v/>
      </c>
      <c r="D255" s="8"/>
      <c r="E255" s="10" t="str">
        <f t="shared" si="13"/>
        <v/>
      </c>
      <c r="F255" s="10" t="str">
        <f>IF(A255="","",K254+Settings!$B$8)</f>
        <v/>
      </c>
      <c r="G255" s="11" t="str">
        <f t="shared" si="14"/>
        <v/>
      </c>
      <c r="H255" s="12" t="str">
        <f>IF(G255="","",G255/Settings!$B$8)</f>
        <v/>
      </c>
      <c r="I255" s="38" t="str">
        <f>IF(H255="","",H255*Settings!$B$11)</f>
        <v/>
      </c>
      <c r="J255" s="40" t="str">
        <f>IF(E255="","",IF(E255="W","Weekly Reset",IF(H255&gt;=1,"Very High Benefit; High Unused-Allowance Risk",IF(H255&gt;Settings!$B$17,"Highly Beneficial; Allowance May Be Underused",IF(H255&gt;=Settings!$B$17,"Highly Beneficial",IF(H255&gt;=0.4,"Moderate",IF(H255&gt;0,"Low Benefit","No Advance Benefit")))))))</f>
        <v/>
      </c>
      <c r="K255" s="10" t="str">
        <f t="shared" si="15"/>
        <v/>
      </c>
    </row>
    <row r="256" spans="1:11" ht="14.25" customHeight="1">
      <c r="A256" s="10" t="str">
        <f>IF(Settings!$B$4="","",IF(Settings!$B$4+ROW()-4&lt;EDATE(Settings!$B$4,12),Settings!$B$4+ROW()-4,""))</f>
        <v/>
      </c>
      <c r="B256" s="9" t="str">
        <f t="shared" si="12"/>
        <v/>
      </c>
      <c r="C256" s="10" t="str">
        <f>IF(A256="","",IF(DAY(A256)&gt;=Settings!$B$5,DATE(YEAR(A256),MONTH(A256),Settings!$B$5),DATE(YEAR(EDATE(A256,-1)),MONTH(EDATE(A256,-1)),Settings!$B$5)))</f>
        <v/>
      </c>
      <c r="D256" s="8"/>
      <c r="E256" s="10" t="str">
        <f t="shared" si="13"/>
        <v/>
      </c>
      <c r="F256" s="10" t="str">
        <f>IF(A256="","",K255+Settings!$B$8)</f>
        <v/>
      </c>
      <c r="G256" s="11" t="str">
        <f t="shared" si="14"/>
        <v/>
      </c>
      <c r="H256" s="12" t="str">
        <f>IF(G256="","",G256/Settings!$B$8)</f>
        <v/>
      </c>
      <c r="I256" s="38" t="str">
        <f>IF(H256="","",H256*Settings!$B$11)</f>
        <v/>
      </c>
      <c r="J256" s="40" t="str">
        <f>IF(E256="","",IF(E256="W","Weekly Reset",IF(H256&gt;=1,"Very High Benefit; High Unused-Allowance Risk",IF(H256&gt;Settings!$B$17,"Highly Beneficial; Allowance May Be Underused",IF(H256&gt;=Settings!$B$17,"Highly Beneficial",IF(H256&gt;=0.4,"Moderate",IF(H256&gt;0,"Low Benefit","No Advance Benefit")))))))</f>
        <v/>
      </c>
      <c r="K256" s="10" t="str">
        <f t="shared" si="15"/>
        <v/>
      </c>
    </row>
    <row r="257" spans="1:11" ht="14.25" customHeight="1">
      <c r="A257" s="10" t="str">
        <f>IF(Settings!$B$4="","",IF(Settings!$B$4+ROW()-4&lt;EDATE(Settings!$B$4,12),Settings!$B$4+ROW()-4,""))</f>
        <v/>
      </c>
      <c r="B257" s="9" t="str">
        <f t="shared" si="12"/>
        <v/>
      </c>
      <c r="C257" s="10" t="str">
        <f>IF(A257="","",IF(DAY(A257)&gt;=Settings!$B$5,DATE(YEAR(A257),MONTH(A257),Settings!$B$5),DATE(YEAR(EDATE(A257,-1)),MONTH(EDATE(A257,-1)),Settings!$B$5)))</f>
        <v/>
      </c>
      <c r="D257" s="8"/>
      <c r="E257" s="10" t="str">
        <f t="shared" si="13"/>
        <v/>
      </c>
      <c r="F257" s="10" t="str">
        <f>IF(A257="","",K256+Settings!$B$8)</f>
        <v/>
      </c>
      <c r="G257" s="11" t="str">
        <f t="shared" si="14"/>
        <v/>
      </c>
      <c r="H257" s="12" t="str">
        <f>IF(G257="","",G257/Settings!$B$8)</f>
        <v/>
      </c>
      <c r="I257" s="38" t="str">
        <f>IF(H257="","",H257*Settings!$B$11)</f>
        <v/>
      </c>
      <c r="J257" s="40" t="str">
        <f>IF(E257="","",IF(E257="W","Weekly Reset",IF(H257&gt;=1,"Very High Benefit; High Unused-Allowance Risk",IF(H257&gt;Settings!$B$17,"Highly Beneficial; Allowance May Be Underused",IF(H257&gt;=Settings!$B$17,"Highly Beneficial",IF(H257&gt;=0.4,"Moderate",IF(H257&gt;0,"Low Benefit","No Advance Benefit")))))))</f>
        <v/>
      </c>
      <c r="K257" s="10" t="str">
        <f t="shared" si="15"/>
        <v/>
      </c>
    </row>
    <row r="258" spans="1:11" ht="14.25" customHeight="1">
      <c r="A258" s="10" t="str">
        <f>IF(Settings!$B$4="","",IF(Settings!$B$4+ROW()-4&lt;EDATE(Settings!$B$4,12),Settings!$B$4+ROW()-4,""))</f>
        <v/>
      </c>
      <c r="B258" s="9" t="str">
        <f t="shared" si="12"/>
        <v/>
      </c>
      <c r="C258" s="10" t="str">
        <f>IF(A258="","",IF(DAY(A258)&gt;=Settings!$B$5,DATE(YEAR(A258),MONTH(A258),Settings!$B$5),DATE(YEAR(EDATE(A258,-1)),MONTH(EDATE(A258,-1)),Settings!$B$5)))</f>
        <v/>
      </c>
      <c r="D258" s="8"/>
      <c r="E258" s="10" t="str">
        <f t="shared" si="13"/>
        <v/>
      </c>
      <c r="F258" s="10" t="str">
        <f>IF(A258="","",K257+Settings!$B$8)</f>
        <v/>
      </c>
      <c r="G258" s="11" t="str">
        <f t="shared" si="14"/>
        <v/>
      </c>
      <c r="H258" s="12" t="str">
        <f>IF(G258="","",G258/Settings!$B$8)</f>
        <v/>
      </c>
      <c r="I258" s="38" t="str">
        <f>IF(H258="","",H258*Settings!$B$11)</f>
        <v/>
      </c>
      <c r="J258" s="40" t="str">
        <f>IF(E258="","",IF(E258="W","Weekly Reset",IF(H258&gt;=1,"Very High Benefit; High Unused-Allowance Risk",IF(H258&gt;Settings!$B$17,"Highly Beneficial; Allowance May Be Underused",IF(H258&gt;=Settings!$B$17,"Highly Beneficial",IF(H258&gt;=0.4,"Moderate",IF(H258&gt;0,"Low Benefit","No Advance Benefit")))))))</f>
        <v/>
      </c>
      <c r="K258" s="10" t="str">
        <f t="shared" si="15"/>
        <v/>
      </c>
    </row>
    <row r="259" spans="1:11" ht="14.25" customHeight="1">
      <c r="A259" s="10" t="str">
        <f>IF(Settings!$B$4="","",IF(Settings!$B$4+ROW()-4&lt;EDATE(Settings!$B$4,12),Settings!$B$4+ROW()-4,""))</f>
        <v/>
      </c>
      <c r="B259" s="9" t="str">
        <f t="shared" si="12"/>
        <v/>
      </c>
      <c r="C259" s="10" t="str">
        <f>IF(A259="","",IF(DAY(A259)&gt;=Settings!$B$5,DATE(YEAR(A259),MONTH(A259),Settings!$B$5),DATE(YEAR(EDATE(A259,-1)),MONTH(EDATE(A259,-1)),Settings!$B$5)))</f>
        <v/>
      </c>
      <c r="D259" s="8"/>
      <c r="E259" s="10" t="str">
        <f t="shared" si="13"/>
        <v/>
      </c>
      <c r="F259" s="10" t="str">
        <f>IF(A259="","",K258+Settings!$B$8)</f>
        <v/>
      </c>
      <c r="G259" s="11" t="str">
        <f t="shared" si="14"/>
        <v/>
      </c>
      <c r="H259" s="12" t="str">
        <f>IF(G259="","",G259/Settings!$B$8)</f>
        <v/>
      </c>
      <c r="I259" s="38" t="str">
        <f>IF(H259="","",H259*Settings!$B$11)</f>
        <v/>
      </c>
      <c r="J259" s="40" t="str">
        <f>IF(E259="","",IF(E259="W","Weekly Reset",IF(H259&gt;=1,"Very High Benefit; High Unused-Allowance Risk",IF(H259&gt;Settings!$B$17,"Highly Beneficial; Allowance May Be Underused",IF(H259&gt;=Settings!$B$17,"Highly Beneficial",IF(H259&gt;=0.4,"Moderate",IF(H259&gt;0,"Low Benefit","No Advance Benefit")))))))</f>
        <v/>
      </c>
      <c r="K259" s="10" t="str">
        <f t="shared" si="15"/>
        <v/>
      </c>
    </row>
    <row r="260" spans="1:11" ht="14.25" customHeight="1">
      <c r="A260" s="10" t="str">
        <f>IF(Settings!$B$4="","",IF(Settings!$B$4+ROW()-4&lt;EDATE(Settings!$B$4,12),Settings!$B$4+ROW()-4,""))</f>
        <v/>
      </c>
      <c r="B260" s="9" t="str">
        <f t="shared" ref="B260:B323" si="16">IF(A260="","",CHOOSE(WEEKDAY(A260,2),"Mon","Tue","Wed","Thu","Fri","Sat","Sun"))</f>
        <v/>
      </c>
      <c r="C260" s="10" t="str">
        <f>IF(A260="","",IF(DAY(A260)&gt;=Settings!$B$5,DATE(YEAR(A260),MONTH(A260),Settings!$B$5),DATE(YEAR(EDATE(A260,-1)),MONTH(EDATE(A260,-1)),Settings!$B$5)))</f>
        <v/>
      </c>
      <c r="D260" s="8"/>
      <c r="E260" s="10" t="str">
        <f t="shared" ref="E260:E323" si="17">IF(A260="","",IF(D260&lt;&gt;"",D260,IF(A260=F260,"W","")))</f>
        <v/>
      </c>
      <c r="F260" s="10" t="str">
        <f>IF(A260="","",K259+Settings!$B$8)</f>
        <v/>
      </c>
      <c r="G260" s="11" t="str">
        <f t="shared" ref="G260:G323" si="18">IF(OR(A260="",D260=""),"",MAX(0,F260-A260))</f>
        <v/>
      </c>
      <c r="H260" s="12" t="str">
        <f>IF(G260="","",G260/Settings!$B$8)</f>
        <v/>
      </c>
      <c r="I260" s="38" t="str">
        <f>IF(H260="","",H260*Settings!$B$11)</f>
        <v/>
      </c>
      <c r="J260" s="40" t="str">
        <f>IF(E260="","",IF(E260="W","Weekly Reset",IF(H260&gt;=1,"Very High Benefit; High Unused-Allowance Risk",IF(H260&gt;Settings!$B$17,"Highly Beneficial; Allowance May Be Underused",IF(H260&gt;=Settings!$B$17,"Highly Beneficial",IF(H260&gt;=0.4,"Moderate",IF(H260&gt;0,"Low Benefit","No Advance Benefit")))))))</f>
        <v/>
      </c>
      <c r="K260" s="10" t="str">
        <f t="shared" si="15"/>
        <v/>
      </c>
    </row>
    <row r="261" spans="1:11" ht="14.25" customHeight="1">
      <c r="A261" s="10" t="str">
        <f>IF(Settings!$B$4="","",IF(Settings!$B$4+ROW()-4&lt;EDATE(Settings!$B$4,12),Settings!$B$4+ROW()-4,""))</f>
        <v/>
      </c>
      <c r="B261" s="9" t="str">
        <f t="shared" si="16"/>
        <v/>
      </c>
      <c r="C261" s="10" t="str">
        <f>IF(A261="","",IF(DAY(A261)&gt;=Settings!$B$5,DATE(YEAR(A261),MONTH(A261),Settings!$B$5),DATE(YEAR(EDATE(A261,-1)),MONTH(EDATE(A261,-1)),Settings!$B$5)))</f>
        <v/>
      </c>
      <c r="D261" s="8"/>
      <c r="E261" s="10" t="str">
        <f t="shared" si="17"/>
        <v/>
      </c>
      <c r="F261" s="10" t="str">
        <f>IF(A261="","",K260+Settings!$B$8)</f>
        <v/>
      </c>
      <c r="G261" s="11" t="str">
        <f t="shared" si="18"/>
        <v/>
      </c>
      <c r="H261" s="12" t="str">
        <f>IF(G261="","",G261/Settings!$B$8)</f>
        <v/>
      </c>
      <c r="I261" s="38" t="str">
        <f>IF(H261="","",H261*Settings!$B$11)</f>
        <v/>
      </c>
      <c r="J261" s="40" t="str">
        <f>IF(E261="","",IF(E261="W","Weekly Reset",IF(H261&gt;=1,"Very High Benefit; High Unused-Allowance Risk",IF(H261&gt;Settings!$B$17,"Highly Beneficial; Allowance May Be Underused",IF(H261&gt;=Settings!$B$17,"Highly Beneficial",IF(H261&gt;=0.4,"Moderate",IF(H261&gt;0,"Low Benefit","No Advance Benefit")))))))</f>
        <v/>
      </c>
      <c r="K261" s="10" t="str">
        <f t="shared" ref="K261:K324" si="19">IF(A261="","",IF(D261&lt;&gt;"",A261,IF(A261=F261,A261,K260)))</f>
        <v/>
      </c>
    </row>
    <row r="262" spans="1:11" ht="14.25" customHeight="1">
      <c r="A262" s="10" t="str">
        <f>IF(Settings!$B$4="","",IF(Settings!$B$4+ROW()-4&lt;EDATE(Settings!$B$4,12),Settings!$B$4+ROW()-4,""))</f>
        <v/>
      </c>
      <c r="B262" s="9" t="str">
        <f t="shared" si="16"/>
        <v/>
      </c>
      <c r="C262" s="10" t="str">
        <f>IF(A262="","",IF(DAY(A262)&gt;=Settings!$B$5,DATE(YEAR(A262),MONTH(A262),Settings!$B$5),DATE(YEAR(EDATE(A262,-1)),MONTH(EDATE(A262,-1)),Settings!$B$5)))</f>
        <v/>
      </c>
      <c r="D262" s="8"/>
      <c r="E262" s="10" t="str">
        <f t="shared" si="17"/>
        <v/>
      </c>
      <c r="F262" s="10" t="str">
        <f>IF(A262="","",K261+Settings!$B$8)</f>
        <v/>
      </c>
      <c r="G262" s="11" t="str">
        <f t="shared" si="18"/>
        <v/>
      </c>
      <c r="H262" s="12" t="str">
        <f>IF(G262="","",G262/Settings!$B$8)</f>
        <v/>
      </c>
      <c r="I262" s="38" t="str">
        <f>IF(H262="","",H262*Settings!$B$11)</f>
        <v/>
      </c>
      <c r="J262" s="40" t="str">
        <f>IF(E262="","",IF(E262="W","Weekly Reset",IF(H262&gt;=1,"Very High Benefit; High Unused-Allowance Risk",IF(H262&gt;Settings!$B$17,"Highly Beneficial; Allowance May Be Underused",IF(H262&gt;=Settings!$B$17,"Highly Beneficial",IF(H262&gt;=0.4,"Moderate",IF(H262&gt;0,"Low Benefit","No Advance Benefit")))))))</f>
        <v/>
      </c>
      <c r="K262" s="10" t="str">
        <f t="shared" si="19"/>
        <v/>
      </c>
    </row>
    <row r="263" spans="1:11" ht="14.25" customHeight="1">
      <c r="A263" s="10" t="str">
        <f>IF(Settings!$B$4="","",IF(Settings!$B$4+ROW()-4&lt;EDATE(Settings!$B$4,12),Settings!$B$4+ROW()-4,""))</f>
        <v/>
      </c>
      <c r="B263" s="9" t="str">
        <f t="shared" si="16"/>
        <v/>
      </c>
      <c r="C263" s="10" t="str">
        <f>IF(A263="","",IF(DAY(A263)&gt;=Settings!$B$5,DATE(YEAR(A263),MONTH(A263),Settings!$B$5),DATE(YEAR(EDATE(A263,-1)),MONTH(EDATE(A263,-1)),Settings!$B$5)))</f>
        <v/>
      </c>
      <c r="D263" s="8"/>
      <c r="E263" s="10" t="str">
        <f t="shared" si="17"/>
        <v/>
      </c>
      <c r="F263" s="10" t="str">
        <f>IF(A263="","",K262+Settings!$B$8)</f>
        <v/>
      </c>
      <c r="G263" s="11" t="str">
        <f t="shared" si="18"/>
        <v/>
      </c>
      <c r="H263" s="12" t="str">
        <f>IF(G263="","",G263/Settings!$B$8)</f>
        <v/>
      </c>
      <c r="I263" s="38" t="str">
        <f>IF(H263="","",H263*Settings!$B$11)</f>
        <v/>
      </c>
      <c r="J263" s="40" t="str">
        <f>IF(E263="","",IF(E263="W","Weekly Reset",IF(H263&gt;=1,"Very High Benefit; High Unused-Allowance Risk",IF(H263&gt;Settings!$B$17,"Highly Beneficial; Allowance May Be Underused",IF(H263&gt;=Settings!$B$17,"Highly Beneficial",IF(H263&gt;=0.4,"Moderate",IF(H263&gt;0,"Low Benefit","No Advance Benefit")))))))</f>
        <v/>
      </c>
      <c r="K263" s="10" t="str">
        <f t="shared" si="19"/>
        <v/>
      </c>
    </row>
    <row r="264" spans="1:11" ht="14.25" customHeight="1">
      <c r="A264" s="10" t="str">
        <f>IF(Settings!$B$4="","",IF(Settings!$B$4+ROW()-4&lt;EDATE(Settings!$B$4,12),Settings!$B$4+ROW()-4,""))</f>
        <v/>
      </c>
      <c r="B264" s="9" t="str">
        <f t="shared" si="16"/>
        <v/>
      </c>
      <c r="C264" s="10" t="str">
        <f>IF(A264="","",IF(DAY(A264)&gt;=Settings!$B$5,DATE(YEAR(A264),MONTH(A264),Settings!$B$5),DATE(YEAR(EDATE(A264,-1)),MONTH(EDATE(A264,-1)),Settings!$B$5)))</f>
        <v/>
      </c>
      <c r="D264" s="8"/>
      <c r="E264" s="10" t="str">
        <f t="shared" si="17"/>
        <v/>
      </c>
      <c r="F264" s="10" t="str">
        <f>IF(A264="","",K263+Settings!$B$8)</f>
        <v/>
      </c>
      <c r="G264" s="11" t="str">
        <f t="shared" si="18"/>
        <v/>
      </c>
      <c r="H264" s="12" t="str">
        <f>IF(G264="","",G264/Settings!$B$8)</f>
        <v/>
      </c>
      <c r="I264" s="38" t="str">
        <f>IF(H264="","",H264*Settings!$B$11)</f>
        <v/>
      </c>
      <c r="J264" s="40" t="str">
        <f>IF(E264="","",IF(E264="W","Weekly Reset",IF(H264&gt;=1,"Very High Benefit; High Unused-Allowance Risk",IF(H264&gt;Settings!$B$17,"Highly Beneficial; Allowance May Be Underused",IF(H264&gt;=Settings!$B$17,"Highly Beneficial",IF(H264&gt;=0.4,"Moderate",IF(H264&gt;0,"Low Benefit","No Advance Benefit")))))))</f>
        <v/>
      </c>
      <c r="K264" s="10" t="str">
        <f t="shared" si="19"/>
        <v/>
      </c>
    </row>
    <row r="265" spans="1:11" ht="14.25" customHeight="1">
      <c r="A265" s="10" t="str">
        <f>IF(Settings!$B$4="","",IF(Settings!$B$4+ROW()-4&lt;EDATE(Settings!$B$4,12),Settings!$B$4+ROW()-4,""))</f>
        <v/>
      </c>
      <c r="B265" s="9" t="str">
        <f t="shared" si="16"/>
        <v/>
      </c>
      <c r="C265" s="10" t="str">
        <f>IF(A265="","",IF(DAY(A265)&gt;=Settings!$B$5,DATE(YEAR(A265),MONTH(A265),Settings!$B$5),DATE(YEAR(EDATE(A265,-1)),MONTH(EDATE(A265,-1)),Settings!$B$5)))</f>
        <v/>
      </c>
      <c r="D265" s="8"/>
      <c r="E265" s="10" t="str">
        <f t="shared" si="17"/>
        <v/>
      </c>
      <c r="F265" s="10" t="str">
        <f>IF(A265="","",K264+Settings!$B$8)</f>
        <v/>
      </c>
      <c r="G265" s="11" t="str">
        <f t="shared" si="18"/>
        <v/>
      </c>
      <c r="H265" s="12" t="str">
        <f>IF(G265="","",G265/Settings!$B$8)</f>
        <v/>
      </c>
      <c r="I265" s="38" t="str">
        <f>IF(H265="","",H265*Settings!$B$11)</f>
        <v/>
      </c>
      <c r="J265" s="40" t="str">
        <f>IF(E265="","",IF(E265="W","Weekly Reset",IF(H265&gt;=1,"Very High Benefit; High Unused-Allowance Risk",IF(H265&gt;Settings!$B$17,"Highly Beneficial; Allowance May Be Underused",IF(H265&gt;=Settings!$B$17,"Highly Beneficial",IF(H265&gt;=0.4,"Moderate",IF(H265&gt;0,"Low Benefit","No Advance Benefit")))))))</f>
        <v/>
      </c>
      <c r="K265" s="10" t="str">
        <f t="shared" si="19"/>
        <v/>
      </c>
    </row>
    <row r="266" spans="1:11" ht="14.25" customHeight="1">
      <c r="A266" s="10" t="str">
        <f>IF(Settings!$B$4="","",IF(Settings!$B$4+ROW()-4&lt;EDATE(Settings!$B$4,12),Settings!$B$4+ROW()-4,""))</f>
        <v/>
      </c>
      <c r="B266" s="9" t="str">
        <f t="shared" si="16"/>
        <v/>
      </c>
      <c r="C266" s="10" t="str">
        <f>IF(A266="","",IF(DAY(A266)&gt;=Settings!$B$5,DATE(YEAR(A266),MONTH(A266),Settings!$B$5),DATE(YEAR(EDATE(A266,-1)),MONTH(EDATE(A266,-1)),Settings!$B$5)))</f>
        <v/>
      </c>
      <c r="D266" s="8"/>
      <c r="E266" s="10" t="str">
        <f t="shared" si="17"/>
        <v/>
      </c>
      <c r="F266" s="10" t="str">
        <f>IF(A266="","",K265+Settings!$B$8)</f>
        <v/>
      </c>
      <c r="G266" s="11" t="str">
        <f t="shared" si="18"/>
        <v/>
      </c>
      <c r="H266" s="12" t="str">
        <f>IF(G266="","",G266/Settings!$B$8)</f>
        <v/>
      </c>
      <c r="I266" s="38" t="str">
        <f>IF(H266="","",H266*Settings!$B$11)</f>
        <v/>
      </c>
      <c r="J266" s="40" t="str">
        <f>IF(E266="","",IF(E266="W","Weekly Reset",IF(H266&gt;=1,"Very High Benefit; High Unused-Allowance Risk",IF(H266&gt;Settings!$B$17,"Highly Beneficial; Allowance May Be Underused",IF(H266&gt;=Settings!$B$17,"Highly Beneficial",IF(H266&gt;=0.4,"Moderate",IF(H266&gt;0,"Low Benefit","No Advance Benefit")))))))</f>
        <v/>
      </c>
      <c r="K266" s="10" t="str">
        <f t="shared" si="19"/>
        <v/>
      </c>
    </row>
    <row r="267" spans="1:11" ht="14.25" customHeight="1">
      <c r="A267" s="10" t="str">
        <f>IF(Settings!$B$4="","",IF(Settings!$B$4+ROW()-4&lt;EDATE(Settings!$B$4,12),Settings!$B$4+ROW()-4,""))</f>
        <v/>
      </c>
      <c r="B267" s="9" t="str">
        <f t="shared" si="16"/>
        <v/>
      </c>
      <c r="C267" s="10" t="str">
        <f>IF(A267="","",IF(DAY(A267)&gt;=Settings!$B$5,DATE(YEAR(A267),MONTH(A267),Settings!$B$5),DATE(YEAR(EDATE(A267,-1)),MONTH(EDATE(A267,-1)),Settings!$B$5)))</f>
        <v/>
      </c>
      <c r="D267" s="8"/>
      <c r="E267" s="10" t="str">
        <f t="shared" si="17"/>
        <v/>
      </c>
      <c r="F267" s="10" t="str">
        <f>IF(A267="","",K266+Settings!$B$8)</f>
        <v/>
      </c>
      <c r="G267" s="11" t="str">
        <f t="shared" si="18"/>
        <v/>
      </c>
      <c r="H267" s="12" t="str">
        <f>IF(G267="","",G267/Settings!$B$8)</f>
        <v/>
      </c>
      <c r="I267" s="38" t="str">
        <f>IF(H267="","",H267*Settings!$B$11)</f>
        <v/>
      </c>
      <c r="J267" s="40" t="str">
        <f>IF(E267="","",IF(E267="W","Weekly Reset",IF(H267&gt;=1,"Very High Benefit; High Unused-Allowance Risk",IF(H267&gt;Settings!$B$17,"Highly Beneficial; Allowance May Be Underused",IF(H267&gt;=Settings!$B$17,"Highly Beneficial",IF(H267&gt;=0.4,"Moderate",IF(H267&gt;0,"Low Benefit","No Advance Benefit")))))))</f>
        <v/>
      </c>
      <c r="K267" s="10" t="str">
        <f t="shared" si="19"/>
        <v/>
      </c>
    </row>
    <row r="268" spans="1:11" ht="14.25" customHeight="1">
      <c r="A268" s="10" t="str">
        <f>IF(Settings!$B$4="","",IF(Settings!$B$4+ROW()-4&lt;EDATE(Settings!$B$4,12),Settings!$B$4+ROW()-4,""))</f>
        <v/>
      </c>
      <c r="B268" s="9" t="str">
        <f t="shared" si="16"/>
        <v/>
      </c>
      <c r="C268" s="10" t="str">
        <f>IF(A268="","",IF(DAY(A268)&gt;=Settings!$B$5,DATE(YEAR(A268),MONTH(A268),Settings!$B$5),DATE(YEAR(EDATE(A268,-1)),MONTH(EDATE(A268,-1)),Settings!$B$5)))</f>
        <v/>
      </c>
      <c r="D268" s="8"/>
      <c r="E268" s="10" t="str">
        <f t="shared" si="17"/>
        <v/>
      </c>
      <c r="F268" s="10" t="str">
        <f>IF(A268="","",K267+Settings!$B$8)</f>
        <v/>
      </c>
      <c r="G268" s="11" t="str">
        <f t="shared" si="18"/>
        <v/>
      </c>
      <c r="H268" s="12" t="str">
        <f>IF(G268="","",G268/Settings!$B$8)</f>
        <v/>
      </c>
      <c r="I268" s="38" t="str">
        <f>IF(H268="","",H268*Settings!$B$11)</f>
        <v/>
      </c>
      <c r="J268" s="40" t="str">
        <f>IF(E268="","",IF(E268="W","Weekly Reset",IF(H268&gt;=1,"Very High Benefit; High Unused-Allowance Risk",IF(H268&gt;Settings!$B$17,"Highly Beneficial; Allowance May Be Underused",IF(H268&gt;=Settings!$B$17,"Highly Beneficial",IF(H268&gt;=0.4,"Moderate",IF(H268&gt;0,"Low Benefit","No Advance Benefit")))))))</f>
        <v/>
      </c>
      <c r="K268" s="10" t="str">
        <f t="shared" si="19"/>
        <v/>
      </c>
    </row>
    <row r="269" spans="1:11" ht="14.25" customHeight="1">
      <c r="A269" s="10" t="str">
        <f>IF(Settings!$B$4="","",IF(Settings!$B$4+ROW()-4&lt;EDATE(Settings!$B$4,12),Settings!$B$4+ROW()-4,""))</f>
        <v/>
      </c>
      <c r="B269" s="9" t="str">
        <f t="shared" si="16"/>
        <v/>
      </c>
      <c r="C269" s="10" t="str">
        <f>IF(A269="","",IF(DAY(A269)&gt;=Settings!$B$5,DATE(YEAR(A269),MONTH(A269),Settings!$B$5),DATE(YEAR(EDATE(A269,-1)),MONTH(EDATE(A269,-1)),Settings!$B$5)))</f>
        <v/>
      </c>
      <c r="D269" s="8"/>
      <c r="E269" s="10" t="str">
        <f t="shared" si="17"/>
        <v/>
      </c>
      <c r="F269" s="10" t="str">
        <f>IF(A269="","",K268+Settings!$B$8)</f>
        <v/>
      </c>
      <c r="G269" s="11" t="str">
        <f t="shared" si="18"/>
        <v/>
      </c>
      <c r="H269" s="12" t="str">
        <f>IF(G269="","",G269/Settings!$B$8)</f>
        <v/>
      </c>
      <c r="I269" s="38" t="str">
        <f>IF(H269="","",H269*Settings!$B$11)</f>
        <v/>
      </c>
      <c r="J269" s="40" t="str">
        <f>IF(E269="","",IF(E269="W","Weekly Reset",IF(H269&gt;=1,"Very High Benefit; High Unused-Allowance Risk",IF(H269&gt;Settings!$B$17,"Highly Beneficial; Allowance May Be Underused",IF(H269&gt;=Settings!$B$17,"Highly Beneficial",IF(H269&gt;=0.4,"Moderate",IF(H269&gt;0,"Low Benefit","No Advance Benefit")))))))</f>
        <v/>
      </c>
      <c r="K269" s="10" t="str">
        <f t="shared" si="19"/>
        <v/>
      </c>
    </row>
    <row r="270" spans="1:11" ht="14.25" customHeight="1">
      <c r="A270" s="10" t="str">
        <f>IF(Settings!$B$4="","",IF(Settings!$B$4+ROW()-4&lt;EDATE(Settings!$B$4,12),Settings!$B$4+ROW()-4,""))</f>
        <v/>
      </c>
      <c r="B270" s="9" t="str">
        <f t="shared" si="16"/>
        <v/>
      </c>
      <c r="C270" s="10" t="str">
        <f>IF(A270="","",IF(DAY(A270)&gt;=Settings!$B$5,DATE(YEAR(A270),MONTH(A270),Settings!$B$5),DATE(YEAR(EDATE(A270,-1)),MONTH(EDATE(A270,-1)),Settings!$B$5)))</f>
        <v/>
      </c>
      <c r="D270" s="8"/>
      <c r="E270" s="10" t="str">
        <f t="shared" si="17"/>
        <v/>
      </c>
      <c r="F270" s="10" t="str">
        <f>IF(A270="","",K269+Settings!$B$8)</f>
        <v/>
      </c>
      <c r="G270" s="11" t="str">
        <f t="shared" si="18"/>
        <v/>
      </c>
      <c r="H270" s="12" t="str">
        <f>IF(G270="","",G270/Settings!$B$8)</f>
        <v/>
      </c>
      <c r="I270" s="38" t="str">
        <f>IF(H270="","",H270*Settings!$B$11)</f>
        <v/>
      </c>
      <c r="J270" s="40" t="str">
        <f>IF(E270="","",IF(E270="W","Weekly Reset",IF(H270&gt;=1,"Very High Benefit; High Unused-Allowance Risk",IF(H270&gt;Settings!$B$17,"Highly Beneficial; Allowance May Be Underused",IF(H270&gt;=Settings!$B$17,"Highly Beneficial",IF(H270&gt;=0.4,"Moderate",IF(H270&gt;0,"Low Benefit","No Advance Benefit")))))))</f>
        <v/>
      </c>
      <c r="K270" s="10" t="str">
        <f t="shared" si="19"/>
        <v/>
      </c>
    </row>
    <row r="271" spans="1:11" ht="14.25" customHeight="1">
      <c r="A271" s="10" t="str">
        <f>IF(Settings!$B$4="","",IF(Settings!$B$4+ROW()-4&lt;EDATE(Settings!$B$4,12),Settings!$B$4+ROW()-4,""))</f>
        <v/>
      </c>
      <c r="B271" s="9" t="str">
        <f t="shared" si="16"/>
        <v/>
      </c>
      <c r="C271" s="10" t="str">
        <f>IF(A271="","",IF(DAY(A271)&gt;=Settings!$B$5,DATE(YEAR(A271),MONTH(A271),Settings!$B$5),DATE(YEAR(EDATE(A271,-1)),MONTH(EDATE(A271,-1)),Settings!$B$5)))</f>
        <v/>
      </c>
      <c r="D271" s="8"/>
      <c r="E271" s="10" t="str">
        <f t="shared" si="17"/>
        <v/>
      </c>
      <c r="F271" s="10" t="str">
        <f>IF(A271="","",K270+Settings!$B$8)</f>
        <v/>
      </c>
      <c r="G271" s="11" t="str">
        <f t="shared" si="18"/>
        <v/>
      </c>
      <c r="H271" s="12" t="str">
        <f>IF(G271="","",G271/Settings!$B$8)</f>
        <v/>
      </c>
      <c r="I271" s="38" t="str">
        <f>IF(H271="","",H271*Settings!$B$11)</f>
        <v/>
      </c>
      <c r="J271" s="40" t="str">
        <f>IF(E271="","",IF(E271="W","Weekly Reset",IF(H271&gt;=1,"Very High Benefit; High Unused-Allowance Risk",IF(H271&gt;Settings!$B$17,"Highly Beneficial; Allowance May Be Underused",IF(H271&gt;=Settings!$B$17,"Highly Beneficial",IF(H271&gt;=0.4,"Moderate",IF(H271&gt;0,"Low Benefit","No Advance Benefit")))))))</f>
        <v/>
      </c>
      <c r="K271" s="10" t="str">
        <f t="shared" si="19"/>
        <v/>
      </c>
    </row>
    <row r="272" spans="1:11" ht="14.25" customHeight="1">
      <c r="A272" s="10" t="str">
        <f>IF(Settings!$B$4="","",IF(Settings!$B$4+ROW()-4&lt;EDATE(Settings!$B$4,12),Settings!$B$4+ROW()-4,""))</f>
        <v/>
      </c>
      <c r="B272" s="9" t="str">
        <f t="shared" si="16"/>
        <v/>
      </c>
      <c r="C272" s="10" t="str">
        <f>IF(A272="","",IF(DAY(A272)&gt;=Settings!$B$5,DATE(YEAR(A272),MONTH(A272),Settings!$B$5),DATE(YEAR(EDATE(A272,-1)),MONTH(EDATE(A272,-1)),Settings!$B$5)))</f>
        <v/>
      </c>
      <c r="D272" s="8"/>
      <c r="E272" s="10" t="str">
        <f t="shared" si="17"/>
        <v/>
      </c>
      <c r="F272" s="10" t="str">
        <f>IF(A272="","",K271+Settings!$B$8)</f>
        <v/>
      </c>
      <c r="G272" s="11" t="str">
        <f t="shared" si="18"/>
        <v/>
      </c>
      <c r="H272" s="12" t="str">
        <f>IF(G272="","",G272/Settings!$B$8)</f>
        <v/>
      </c>
      <c r="I272" s="38" t="str">
        <f>IF(H272="","",H272*Settings!$B$11)</f>
        <v/>
      </c>
      <c r="J272" s="40" t="str">
        <f>IF(E272="","",IF(E272="W","Weekly Reset",IF(H272&gt;=1,"Very High Benefit; High Unused-Allowance Risk",IF(H272&gt;Settings!$B$17,"Highly Beneficial; Allowance May Be Underused",IF(H272&gt;=Settings!$B$17,"Highly Beneficial",IF(H272&gt;=0.4,"Moderate",IF(H272&gt;0,"Low Benefit","No Advance Benefit")))))))</f>
        <v/>
      </c>
      <c r="K272" s="10" t="str">
        <f t="shared" si="19"/>
        <v/>
      </c>
    </row>
    <row r="273" spans="1:11" ht="14.25" customHeight="1">
      <c r="A273" s="10" t="str">
        <f>IF(Settings!$B$4="","",IF(Settings!$B$4+ROW()-4&lt;EDATE(Settings!$B$4,12),Settings!$B$4+ROW()-4,""))</f>
        <v/>
      </c>
      <c r="B273" s="9" t="str">
        <f t="shared" si="16"/>
        <v/>
      </c>
      <c r="C273" s="10" t="str">
        <f>IF(A273="","",IF(DAY(A273)&gt;=Settings!$B$5,DATE(YEAR(A273),MONTH(A273),Settings!$B$5),DATE(YEAR(EDATE(A273,-1)),MONTH(EDATE(A273,-1)),Settings!$B$5)))</f>
        <v/>
      </c>
      <c r="D273" s="8"/>
      <c r="E273" s="10" t="str">
        <f t="shared" si="17"/>
        <v/>
      </c>
      <c r="F273" s="10" t="str">
        <f>IF(A273="","",K272+Settings!$B$8)</f>
        <v/>
      </c>
      <c r="G273" s="11" t="str">
        <f t="shared" si="18"/>
        <v/>
      </c>
      <c r="H273" s="12" t="str">
        <f>IF(G273="","",G273/Settings!$B$8)</f>
        <v/>
      </c>
      <c r="I273" s="38" t="str">
        <f>IF(H273="","",H273*Settings!$B$11)</f>
        <v/>
      </c>
      <c r="J273" s="40" t="str">
        <f>IF(E273="","",IF(E273="W","Weekly Reset",IF(H273&gt;=1,"Very High Benefit; High Unused-Allowance Risk",IF(H273&gt;Settings!$B$17,"Highly Beneficial; Allowance May Be Underused",IF(H273&gt;=Settings!$B$17,"Highly Beneficial",IF(H273&gt;=0.4,"Moderate",IF(H273&gt;0,"Low Benefit","No Advance Benefit")))))))</f>
        <v/>
      </c>
      <c r="K273" s="10" t="str">
        <f t="shared" si="19"/>
        <v/>
      </c>
    </row>
    <row r="274" spans="1:11" ht="14.25" customHeight="1">
      <c r="A274" s="10" t="str">
        <f>IF(Settings!$B$4="","",IF(Settings!$B$4+ROW()-4&lt;EDATE(Settings!$B$4,12),Settings!$B$4+ROW()-4,""))</f>
        <v/>
      </c>
      <c r="B274" s="9" t="str">
        <f t="shared" si="16"/>
        <v/>
      </c>
      <c r="C274" s="10" t="str">
        <f>IF(A274="","",IF(DAY(A274)&gt;=Settings!$B$5,DATE(YEAR(A274),MONTH(A274),Settings!$B$5),DATE(YEAR(EDATE(A274,-1)),MONTH(EDATE(A274,-1)),Settings!$B$5)))</f>
        <v/>
      </c>
      <c r="D274" s="8"/>
      <c r="E274" s="10" t="str">
        <f t="shared" si="17"/>
        <v/>
      </c>
      <c r="F274" s="10" t="str">
        <f>IF(A274="","",K273+Settings!$B$8)</f>
        <v/>
      </c>
      <c r="G274" s="11" t="str">
        <f t="shared" si="18"/>
        <v/>
      </c>
      <c r="H274" s="12" t="str">
        <f>IF(G274="","",G274/Settings!$B$8)</f>
        <v/>
      </c>
      <c r="I274" s="38" t="str">
        <f>IF(H274="","",H274*Settings!$B$11)</f>
        <v/>
      </c>
      <c r="J274" s="40" t="str">
        <f>IF(E274="","",IF(E274="W","Weekly Reset",IF(H274&gt;=1,"Very High Benefit; High Unused-Allowance Risk",IF(H274&gt;Settings!$B$17,"Highly Beneficial; Allowance May Be Underused",IF(H274&gt;=Settings!$B$17,"Highly Beneficial",IF(H274&gt;=0.4,"Moderate",IF(H274&gt;0,"Low Benefit","No Advance Benefit")))))))</f>
        <v/>
      </c>
      <c r="K274" s="10" t="str">
        <f t="shared" si="19"/>
        <v/>
      </c>
    </row>
    <row r="275" spans="1:11" ht="14.25" customHeight="1">
      <c r="A275" s="10" t="str">
        <f>IF(Settings!$B$4="","",IF(Settings!$B$4+ROW()-4&lt;EDATE(Settings!$B$4,12),Settings!$B$4+ROW()-4,""))</f>
        <v/>
      </c>
      <c r="B275" s="9" t="str">
        <f t="shared" si="16"/>
        <v/>
      </c>
      <c r="C275" s="10" t="str">
        <f>IF(A275="","",IF(DAY(A275)&gt;=Settings!$B$5,DATE(YEAR(A275),MONTH(A275),Settings!$B$5),DATE(YEAR(EDATE(A275,-1)),MONTH(EDATE(A275,-1)),Settings!$B$5)))</f>
        <v/>
      </c>
      <c r="D275" s="8"/>
      <c r="E275" s="10" t="str">
        <f t="shared" si="17"/>
        <v/>
      </c>
      <c r="F275" s="10" t="str">
        <f>IF(A275="","",K274+Settings!$B$8)</f>
        <v/>
      </c>
      <c r="G275" s="11" t="str">
        <f t="shared" si="18"/>
        <v/>
      </c>
      <c r="H275" s="12" t="str">
        <f>IF(G275="","",G275/Settings!$B$8)</f>
        <v/>
      </c>
      <c r="I275" s="38" t="str">
        <f>IF(H275="","",H275*Settings!$B$11)</f>
        <v/>
      </c>
      <c r="J275" s="40" t="str">
        <f>IF(E275="","",IF(E275="W","Weekly Reset",IF(H275&gt;=1,"Very High Benefit; High Unused-Allowance Risk",IF(H275&gt;Settings!$B$17,"Highly Beneficial; Allowance May Be Underused",IF(H275&gt;=Settings!$B$17,"Highly Beneficial",IF(H275&gt;=0.4,"Moderate",IF(H275&gt;0,"Low Benefit","No Advance Benefit")))))))</f>
        <v/>
      </c>
      <c r="K275" s="10" t="str">
        <f t="shared" si="19"/>
        <v/>
      </c>
    </row>
    <row r="276" spans="1:11" ht="14.25" customHeight="1">
      <c r="A276" s="10" t="str">
        <f>IF(Settings!$B$4="","",IF(Settings!$B$4+ROW()-4&lt;EDATE(Settings!$B$4,12),Settings!$B$4+ROW()-4,""))</f>
        <v/>
      </c>
      <c r="B276" s="9" t="str">
        <f t="shared" si="16"/>
        <v/>
      </c>
      <c r="C276" s="10" t="str">
        <f>IF(A276="","",IF(DAY(A276)&gt;=Settings!$B$5,DATE(YEAR(A276),MONTH(A276),Settings!$B$5),DATE(YEAR(EDATE(A276,-1)),MONTH(EDATE(A276,-1)),Settings!$B$5)))</f>
        <v/>
      </c>
      <c r="D276" s="8"/>
      <c r="E276" s="10" t="str">
        <f t="shared" si="17"/>
        <v/>
      </c>
      <c r="F276" s="10" t="str">
        <f>IF(A276="","",K275+Settings!$B$8)</f>
        <v/>
      </c>
      <c r="G276" s="11" t="str">
        <f t="shared" si="18"/>
        <v/>
      </c>
      <c r="H276" s="12" t="str">
        <f>IF(G276="","",G276/Settings!$B$8)</f>
        <v/>
      </c>
      <c r="I276" s="38" t="str">
        <f>IF(H276="","",H276*Settings!$B$11)</f>
        <v/>
      </c>
      <c r="J276" s="40" t="str">
        <f>IF(E276="","",IF(E276="W","Weekly Reset",IF(H276&gt;=1,"Very High Benefit; High Unused-Allowance Risk",IF(H276&gt;Settings!$B$17,"Highly Beneficial; Allowance May Be Underused",IF(H276&gt;=Settings!$B$17,"Highly Beneficial",IF(H276&gt;=0.4,"Moderate",IF(H276&gt;0,"Low Benefit","No Advance Benefit")))))))</f>
        <v/>
      </c>
      <c r="K276" s="10" t="str">
        <f t="shared" si="19"/>
        <v/>
      </c>
    </row>
    <row r="277" spans="1:11" ht="14.25" customHeight="1">
      <c r="A277" s="10" t="str">
        <f>IF(Settings!$B$4="","",IF(Settings!$B$4+ROW()-4&lt;EDATE(Settings!$B$4,12),Settings!$B$4+ROW()-4,""))</f>
        <v/>
      </c>
      <c r="B277" s="9" t="str">
        <f t="shared" si="16"/>
        <v/>
      </c>
      <c r="C277" s="10" t="str">
        <f>IF(A277="","",IF(DAY(A277)&gt;=Settings!$B$5,DATE(YEAR(A277),MONTH(A277),Settings!$B$5),DATE(YEAR(EDATE(A277,-1)),MONTH(EDATE(A277,-1)),Settings!$B$5)))</f>
        <v/>
      </c>
      <c r="D277" s="8"/>
      <c r="E277" s="10" t="str">
        <f t="shared" si="17"/>
        <v/>
      </c>
      <c r="F277" s="10" t="str">
        <f>IF(A277="","",K276+Settings!$B$8)</f>
        <v/>
      </c>
      <c r="G277" s="11" t="str">
        <f t="shared" si="18"/>
        <v/>
      </c>
      <c r="H277" s="12" t="str">
        <f>IF(G277="","",G277/Settings!$B$8)</f>
        <v/>
      </c>
      <c r="I277" s="38" t="str">
        <f>IF(H277="","",H277*Settings!$B$11)</f>
        <v/>
      </c>
      <c r="J277" s="40" t="str">
        <f>IF(E277="","",IF(E277="W","Weekly Reset",IF(H277&gt;=1,"Very High Benefit; High Unused-Allowance Risk",IF(H277&gt;Settings!$B$17,"Highly Beneficial; Allowance May Be Underused",IF(H277&gt;=Settings!$B$17,"Highly Beneficial",IF(H277&gt;=0.4,"Moderate",IF(H277&gt;0,"Low Benefit","No Advance Benefit")))))))</f>
        <v/>
      </c>
      <c r="K277" s="10" t="str">
        <f t="shared" si="19"/>
        <v/>
      </c>
    </row>
    <row r="278" spans="1:11" ht="14.25" customHeight="1">
      <c r="A278" s="10" t="str">
        <f>IF(Settings!$B$4="","",IF(Settings!$B$4+ROW()-4&lt;EDATE(Settings!$B$4,12),Settings!$B$4+ROW()-4,""))</f>
        <v/>
      </c>
      <c r="B278" s="9" t="str">
        <f t="shared" si="16"/>
        <v/>
      </c>
      <c r="C278" s="10" t="str">
        <f>IF(A278="","",IF(DAY(A278)&gt;=Settings!$B$5,DATE(YEAR(A278),MONTH(A278),Settings!$B$5),DATE(YEAR(EDATE(A278,-1)),MONTH(EDATE(A278,-1)),Settings!$B$5)))</f>
        <v/>
      </c>
      <c r="D278" s="8"/>
      <c r="E278" s="10" t="str">
        <f t="shared" si="17"/>
        <v/>
      </c>
      <c r="F278" s="10" t="str">
        <f>IF(A278="","",K277+Settings!$B$8)</f>
        <v/>
      </c>
      <c r="G278" s="11" t="str">
        <f t="shared" si="18"/>
        <v/>
      </c>
      <c r="H278" s="12" t="str">
        <f>IF(G278="","",G278/Settings!$B$8)</f>
        <v/>
      </c>
      <c r="I278" s="38" t="str">
        <f>IF(H278="","",H278*Settings!$B$11)</f>
        <v/>
      </c>
      <c r="J278" s="40" t="str">
        <f>IF(E278="","",IF(E278="W","Weekly Reset",IF(H278&gt;=1,"Very High Benefit; High Unused-Allowance Risk",IF(H278&gt;Settings!$B$17,"Highly Beneficial; Allowance May Be Underused",IF(H278&gt;=Settings!$B$17,"Highly Beneficial",IF(H278&gt;=0.4,"Moderate",IF(H278&gt;0,"Low Benefit","No Advance Benefit")))))))</f>
        <v/>
      </c>
      <c r="K278" s="10" t="str">
        <f t="shared" si="19"/>
        <v/>
      </c>
    </row>
    <row r="279" spans="1:11" ht="14.25" customHeight="1">
      <c r="A279" s="10" t="str">
        <f>IF(Settings!$B$4="","",IF(Settings!$B$4+ROW()-4&lt;EDATE(Settings!$B$4,12),Settings!$B$4+ROW()-4,""))</f>
        <v/>
      </c>
      <c r="B279" s="9" t="str">
        <f t="shared" si="16"/>
        <v/>
      </c>
      <c r="C279" s="10" t="str">
        <f>IF(A279="","",IF(DAY(A279)&gt;=Settings!$B$5,DATE(YEAR(A279),MONTH(A279),Settings!$B$5),DATE(YEAR(EDATE(A279,-1)),MONTH(EDATE(A279,-1)),Settings!$B$5)))</f>
        <v/>
      </c>
      <c r="D279" s="8"/>
      <c r="E279" s="10" t="str">
        <f t="shared" si="17"/>
        <v/>
      </c>
      <c r="F279" s="10" t="str">
        <f>IF(A279="","",K278+Settings!$B$8)</f>
        <v/>
      </c>
      <c r="G279" s="11" t="str">
        <f t="shared" si="18"/>
        <v/>
      </c>
      <c r="H279" s="12" t="str">
        <f>IF(G279="","",G279/Settings!$B$8)</f>
        <v/>
      </c>
      <c r="I279" s="38" t="str">
        <f>IF(H279="","",H279*Settings!$B$11)</f>
        <v/>
      </c>
      <c r="J279" s="40" t="str">
        <f>IF(E279="","",IF(E279="W","Weekly Reset",IF(H279&gt;=1,"Very High Benefit; High Unused-Allowance Risk",IF(H279&gt;Settings!$B$17,"Highly Beneficial; Allowance May Be Underused",IF(H279&gt;=Settings!$B$17,"Highly Beneficial",IF(H279&gt;=0.4,"Moderate",IF(H279&gt;0,"Low Benefit","No Advance Benefit")))))))</f>
        <v/>
      </c>
      <c r="K279" s="10" t="str">
        <f t="shared" si="19"/>
        <v/>
      </c>
    </row>
    <row r="280" spans="1:11" ht="14.25" customHeight="1">
      <c r="A280" s="10" t="str">
        <f>IF(Settings!$B$4="","",IF(Settings!$B$4+ROW()-4&lt;EDATE(Settings!$B$4,12),Settings!$B$4+ROW()-4,""))</f>
        <v/>
      </c>
      <c r="B280" s="9" t="str">
        <f t="shared" si="16"/>
        <v/>
      </c>
      <c r="C280" s="10" t="str">
        <f>IF(A280="","",IF(DAY(A280)&gt;=Settings!$B$5,DATE(YEAR(A280),MONTH(A280),Settings!$B$5),DATE(YEAR(EDATE(A280,-1)),MONTH(EDATE(A280,-1)),Settings!$B$5)))</f>
        <v/>
      </c>
      <c r="D280" s="8"/>
      <c r="E280" s="10" t="str">
        <f t="shared" si="17"/>
        <v/>
      </c>
      <c r="F280" s="10" t="str">
        <f>IF(A280="","",K279+Settings!$B$8)</f>
        <v/>
      </c>
      <c r="G280" s="11" t="str">
        <f t="shared" si="18"/>
        <v/>
      </c>
      <c r="H280" s="12" t="str">
        <f>IF(G280="","",G280/Settings!$B$8)</f>
        <v/>
      </c>
      <c r="I280" s="38" t="str">
        <f>IF(H280="","",H280*Settings!$B$11)</f>
        <v/>
      </c>
      <c r="J280" s="40" t="str">
        <f>IF(E280="","",IF(E280="W","Weekly Reset",IF(H280&gt;=1,"Very High Benefit; High Unused-Allowance Risk",IF(H280&gt;Settings!$B$17,"Highly Beneficial; Allowance May Be Underused",IF(H280&gt;=Settings!$B$17,"Highly Beneficial",IF(H280&gt;=0.4,"Moderate",IF(H280&gt;0,"Low Benefit","No Advance Benefit")))))))</f>
        <v/>
      </c>
      <c r="K280" s="10" t="str">
        <f t="shared" si="19"/>
        <v/>
      </c>
    </row>
    <row r="281" spans="1:11" ht="14.25" customHeight="1">
      <c r="A281" s="10" t="str">
        <f>IF(Settings!$B$4="","",IF(Settings!$B$4+ROW()-4&lt;EDATE(Settings!$B$4,12),Settings!$B$4+ROW()-4,""))</f>
        <v/>
      </c>
      <c r="B281" s="9" t="str">
        <f t="shared" si="16"/>
        <v/>
      </c>
      <c r="C281" s="10" t="str">
        <f>IF(A281="","",IF(DAY(A281)&gt;=Settings!$B$5,DATE(YEAR(A281),MONTH(A281),Settings!$B$5),DATE(YEAR(EDATE(A281,-1)),MONTH(EDATE(A281,-1)),Settings!$B$5)))</f>
        <v/>
      </c>
      <c r="D281" s="8"/>
      <c r="E281" s="10" t="str">
        <f t="shared" si="17"/>
        <v/>
      </c>
      <c r="F281" s="10" t="str">
        <f>IF(A281="","",K280+Settings!$B$8)</f>
        <v/>
      </c>
      <c r="G281" s="11" t="str">
        <f t="shared" si="18"/>
        <v/>
      </c>
      <c r="H281" s="12" t="str">
        <f>IF(G281="","",G281/Settings!$B$8)</f>
        <v/>
      </c>
      <c r="I281" s="38" t="str">
        <f>IF(H281="","",H281*Settings!$B$11)</f>
        <v/>
      </c>
      <c r="J281" s="40" t="str">
        <f>IF(E281="","",IF(E281="W","Weekly Reset",IF(H281&gt;=1,"Very High Benefit; High Unused-Allowance Risk",IF(H281&gt;Settings!$B$17,"Highly Beneficial; Allowance May Be Underused",IF(H281&gt;=Settings!$B$17,"Highly Beneficial",IF(H281&gt;=0.4,"Moderate",IF(H281&gt;0,"Low Benefit","No Advance Benefit")))))))</f>
        <v/>
      </c>
      <c r="K281" s="10" t="str">
        <f t="shared" si="19"/>
        <v/>
      </c>
    </row>
    <row r="282" spans="1:11" ht="14.25" customHeight="1">
      <c r="A282" s="10" t="str">
        <f>IF(Settings!$B$4="","",IF(Settings!$B$4+ROW()-4&lt;EDATE(Settings!$B$4,12),Settings!$B$4+ROW()-4,""))</f>
        <v/>
      </c>
      <c r="B282" s="9" t="str">
        <f t="shared" si="16"/>
        <v/>
      </c>
      <c r="C282" s="10" t="str">
        <f>IF(A282="","",IF(DAY(A282)&gt;=Settings!$B$5,DATE(YEAR(A282),MONTH(A282),Settings!$B$5),DATE(YEAR(EDATE(A282,-1)),MONTH(EDATE(A282,-1)),Settings!$B$5)))</f>
        <v/>
      </c>
      <c r="D282" s="8"/>
      <c r="E282" s="10" t="str">
        <f t="shared" si="17"/>
        <v/>
      </c>
      <c r="F282" s="10" t="str">
        <f>IF(A282="","",K281+Settings!$B$8)</f>
        <v/>
      </c>
      <c r="G282" s="11" t="str">
        <f t="shared" si="18"/>
        <v/>
      </c>
      <c r="H282" s="12" t="str">
        <f>IF(G282="","",G282/Settings!$B$8)</f>
        <v/>
      </c>
      <c r="I282" s="38" t="str">
        <f>IF(H282="","",H282*Settings!$B$11)</f>
        <v/>
      </c>
      <c r="J282" s="40" t="str">
        <f>IF(E282="","",IF(E282="W","Weekly Reset",IF(H282&gt;=1,"Very High Benefit; High Unused-Allowance Risk",IF(H282&gt;Settings!$B$17,"Highly Beneficial; Allowance May Be Underused",IF(H282&gt;=Settings!$B$17,"Highly Beneficial",IF(H282&gt;=0.4,"Moderate",IF(H282&gt;0,"Low Benefit","No Advance Benefit")))))))</f>
        <v/>
      </c>
      <c r="K282" s="10" t="str">
        <f t="shared" si="19"/>
        <v/>
      </c>
    </row>
    <row r="283" spans="1:11" ht="14.25" customHeight="1">
      <c r="A283" s="10" t="str">
        <f>IF(Settings!$B$4="","",IF(Settings!$B$4+ROW()-4&lt;EDATE(Settings!$B$4,12),Settings!$B$4+ROW()-4,""))</f>
        <v/>
      </c>
      <c r="B283" s="9" t="str">
        <f t="shared" si="16"/>
        <v/>
      </c>
      <c r="C283" s="10" t="str">
        <f>IF(A283="","",IF(DAY(A283)&gt;=Settings!$B$5,DATE(YEAR(A283),MONTH(A283),Settings!$B$5),DATE(YEAR(EDATE(A283,-1)),MONTH(EDATE(A283,-1)),Settings!$B$5)))</f>
        <v/>
      </c>
      <c r="D283" s="8"/>
      <c r="E283" s="10" t="str">
        <f t="shared" si="17"/>
        <v/>
      </c>
      <c r="F283" s="10" t="str">
        <f>IF(A283="","",K282+Settings!$B$8)</f>
        <v/>
      </c>
      <c r="G283" s="11" t="str">
        <f t="shared" si="18"/>
        <v/>
      </c>
      <c r="H283" s="12" t="str">
        <f>IF(G283="","",G283/Settings!$B$8)</f>
        <v/>
      </c>
      <c r="I283" s="38" t="str">
        <f>IF(H283="","",H283*Settings!$B$11)</f>
        <v/>
      </c>
      <c r="J283" s="40" t="str">
        <f>IF(E283="","",IF(E283="W","Weekly Reset",IF(H283&gt;=1,"Very High Benefit; High Unused-Allowance Risk",IF(H283&gt;Settings!$B$17,"Highly Beneficial; Allowance May Be Underused",IF(H283&gt;=Settings!$B$17,"Highly Beneficial",IF(H283&gt;=0.4,"Moderate",IF(H283&gt;0,"Low Benefit","No Advance Benefit")))))))</f>
        <v/>
      </c>
      <c r="K283" s="10" t="str">
        <f t="shared" si="19"/>
        <v/>
      </c>
    </row>
    <row r="284" spans="1:11" ht="14.25" customHeight="1">
      <c r="A284" s="10" t="str">
        <f>IF(Settings!$B$4="","",IF(Settings!$B$4+ROW()-4&lt;EDATE(Settings!$B$4,12),Settings!$B$4+ROW()-4,""))</f>
        <v/>
      </c>
      <c r="B284" s="9" t="str">
        <f t="shared" si="16"/>
        <v/>
      </c>
      <c r="C284" s="10" t="str">
        <f>IF(A284="","",IF(DAY(A284)&gt;=Settings!$B$5,DATE(YEAR(A284),MONTH(A284),Settings!$B$5),DATE(YEAR(EDATE(A284,-1)),MONTH(EDATE(A284,-1)),Settings!$B$5)))</f>
        <v/>
      </c>
      <c r="D284" s="8"/>
      <c r="E284" s="10" t="str">
        <f t="shared" si="17"/>
        <v/>
      </c>
      <c r="F284" s="10" t="str">
        <f>IF(A284="","",K283+Settings!$B$8)</f>
        <v/>
      </c>
      <c r="G284" s="11" t="str">
        <f t="shared" si="18"/>
        <v/>
      </c>
      <c r="H284" s="12" t="str">
        <f>IF(G284="","",G284/Settings!$B$8)</f>
        <v/>
      </c>
      <c r="I284" s="38" t="str">
        <f>IF(H284="","",H284*Settings!$B$11)</f>
        <v/>
      </c>
      <c r="J284" s="40" t="str">
        <f>IF(E284="","",IF(E284="W","Weekly Reset",IF(H284&gt;=1,"Very High Benefit; High Unused-Allowance Risk",IF(H284&gt;Settings!$B$17,"Highly Beneficial; Allowance May Be Underused",IF(H284&gt;=Settings!$B$17,"Highly Beneficial",IF(H284&gt;=0.4,"Moderate",IF(H284&gt;0,"Low Benefit","No Advance Benefit")))))))</f>
        <v/>
      </c>
      <c r="K284" s="10" t="str">
        <f t="shared" si="19"/>
        <v/>
      </c>
    </row>
    <row r="285" spans="1:11" ht="14.25" customHeight="1">
      <c r="A285" s="10" t="str">
        <f>IF(Settings!$B$4="","",IF(Settings!$B$4+ROW()-4&lt;EDATE(Settings!$B$4,12),Settings!$B$4+ROW()-4,""))</f>
        <v/>
      </c>
      <c r="B285" s="9" t="str">
        <f t="shared" si="16"/>
        <v/>
      </c>
      <c r="C285" s="10" t="str">
        <f>IF(A285="","",IF(DAY(A285)&gt;=Settings!$B$5,DATE(YEAR(A285),MONTH(A285),Settings!$B$5),DATE(YEAR(EDATE(A285,-1)),MONTH(EDATE(A285,-1)),Settings!$B$5)))</f>
        <v/>
      </c>
      <c r="D285" s="8"/>
      <c r="E285" s="10" t="str">
        <f t="shared" si="17"/>
        <v/>
      </c>
      <c r="F285" s="10" t="str">
        <f>IF(A285="","",K284+Settings!$B$8)</f>
        <v/>
      </c>
      <c r="G285" s="11" t="str">
        <f t="shared" si="18"/>
        <v/>
      </c>
      <c r="H285" s="12" t="str">
        <f>IF(G285="","",G285/Settings!$B$8)</f>
        <v/>
      </c>
      <c r="I285" s="38" t="str">
        <f>IF(H285="","",H285*Settings!$B$11)</f>
        <v/>
      </c>
      <c r="J285" s="40" t="str">
        <f>IF(E285="","",IF(E285="W","Weekly Reset",IF(H285&gt;=1,"Very High Benefit; High Unused-Allowance Risk",IF(H285&gt;Settings!$B$17,"Highly Beneficial; Allowance May Be Underused",IF(H285&gt;=Settings!$B$17,"Highly Beneficial",IF(H285&gt;=0.4,"Moderate",IF(H285&gt;0,"Low Benefit","No Advance Benefit")))))))</f>
        <v/>
      </c>
      <c r="K285" s="10" t="str">
        <f t="shared" si="19"/>
        <v/>
      </c>
    </row>
    <row r="286" spans="1:11" ht="14.25" customHeight="1">
      <c r="A286" s="10" t="str">
        <f>IF(Settings!$B$4="","",IF(Settings!$B$4+ROW()-4&lt;EDATE(Settings!$B$4,12),Settings!$B$4+ROW()-4,""))</f>
        <v/>
      </c>
      <c r="B286" s="9" t="str">
        <f t="shared" si="16"/>
        <v/>
      </c>
      <c r="C286" s="10" t="str">
        <f>IF(A286="","",IF(DAY(A286)&gt;=Settings!$B$5,DATE(YEAR(A286),MONTH(A286),Settings!$B$5),DATE(YEAR(EDATE(A286,-1)),MONTH(EDATE(A286,-1)),Settings!$B$5)))</f>
        <v/>
      </c>
      <c r="D286" s="8"/>
      <c r="E286" s="10" t="str">
        <f t="shared" si="17"/>
        <v/>
      </c>
      <c r="F286" s="10" t="str">
        <f>IF(A286="","",K285+Settings!$B$8)</f>
        <v/>
      </c>
      <c r="G286" s="11" t="str">
        <f t="shared" si="18"/>
        <v/>
      </c>
      <c r="H286" s="12" t="str">
        <f>IF(G286="","",G286/Settings!$B$8)</f>
        <v/>
      </c>
      <c r="I286" s="38" t="str">
        <f>IF(H286="","",H286*Settings!$B$11)</f>
        <v/>
      </c>
      <c r="J286" s="40" t="str">
        <f>IF(E286="","",IF(E286="W","Weekly Reset",IF(H286&gt;=1,"Very High Benefit; High Unused-Allowance Risk",IF(H286&gt;Settings!$B$17,"Highly Beneficial; Allowance May Be Underused",IF(H286&gt;=Settings!$B$17,"Highly Beneficial",IF(H286&gt;=0.4,"Moderate",IF(H286&gt;0,"Low Benefit","No Advance Benefit")))))))</f>
        <v/>
      </c>
      <c r="K286" s="10" t="str">
        <f t="shared" si="19"/>
        <v/>
      </c>
    </row>
    <row r="287" spans="1:11" ht="14.25" customHeight="1">
      <c r="A287" s="10" t="str">
        <f>IF(Settings!$B$4="","",IF(Settings!$B$4+ROW()-4&lt;EDATE(Settings!$B$4,12),Settings!$B$4+ROW()-4,""))</f>
        <v/>
      </c>
      <c r="B287" s="9" t="str">
        <f t="shared" si="16"/>
        <v/>
      </c>
      <c r="C287" s="10" t="str">
        <f>IF(A287="","",IF(DAY(A287)&gt;=Settings!$B$5,DATE(YEAR(A287),MONTH(A287),Settings!$B$5),DATE(YEAR(EDATE(A287,-1)),MONTH(EDATE(A287,-1)),Settings!$B$5)))</f>
        <v/>
      </c>
      <c r="D287" s="8"/>
      <c r="E287" s="10" t="str">
        <f t="shared" si="17"/>
        <v/>
      </c>
      <c r="F287" s="10" t="str">
        <f>IF(A287="","",K286+Settings!$B$8)</f>
        <v/>
      </c>
      <c r="G287" s="11" t="str">
        <f t="shared" si="18"/>
        <v/>
      </c>
      <c r="H287" s="12" t="str">
        <f>IF(G287="","",G287/Settings!$B$8)</f>
        <v/>
      </c>
      <c r="I287" s="38" t="str">
        <f>IF(H287="","",H287*Settings!$B$11)</f>
        <v/>
      </c>
      <c r="J287" s="40" t="str">
        <f>IF(E287="","",IF(E287="W","Weekly Reset",IF(H287&gt;=1,"Very High Benefit; High Unused-Allowance Risk",IF(H287&gt;Settings!$B$17,"Highly Beneficial; Allowance May Be Underused",IF(H287&gt;=Settings!$B$17,"Highly Beneficial",IF(H287&gt;=0.4,"Moderate",IF(H287&gt;0,"Low Benefit","No Advance Benefit")))))))</f>
        <v/>
      </c>
      <c r="K287" s="10" t="str">
        <f t="shared" si="19"/>
        <v/>
      </c>
    </row>
    <row r="288" spans="1:11" ht="14.25" customHeight="1">
      <c r="A288" s="10" t="str">
        <f>IF(Settings!$B$4="","",IF(Settings!$B$4+ROW()-4&lt;EDATE(Settings!$B$4,12),Settings!$B$4+ROW()-4,""))</f>
        <v/>
      </c>
      <c r="B288" s="9" t="str">
        <f t="shared" si="16"/>
        <v/>
      </c>
      <c r="C288" s="10" t="str">
        <f>IF(A288="","",IF(DAY(A288)&gt;=Settings!$B$5,DATE(YEAR(A288),MONTH(A288),Settings!$B$5),DATE(YEAR(EDATE(A288,-1)),MONTH(EDATE(A288,-1)),Settings!$B$5)))</f>
        <v/>
      </c>
      <c r="D288" s="8"/>
      <c r="E288" s="10" t="str">
        <f t="shared" si="17"/>
        <v/>
      </c>
      <c r="F288" s="10" t="str">
        <f>IF(A288="","",K287+Settings!$B$8)</f>
        <v/>
      </c>
      <c r="G288" s="11" t="str">
        <f t="shared" si="18"/>
        <v/>
      </c>
      <c r="H288" s="12" t="str">
        <f>IF(G288="","",G288/Settings!$B$8)</f>
        <v/>
      </c>
      <c r="I288" s="38" t="str">
        <f>IF(H288="","",H288*Settings!$B$11)</f>
        <v/>
      </c>
      <c r="J288" s="40" t="str">
        <f>IF(E288="","",IF(E288="W","Weekly Reset",IF(H288&gt;=1,"Very High Benefit; High Unused-Allowance Risk",IF(H288&gt;Settings!$B$17,"Highly Beneficial; Allowance May Be Underused",IF(H288&gt;=Settings!$B$17,"Highly Beneficial",IF(H288&gt;=0.4,"Moderate",IF(H288&gt;0,"Low Benefit","No Advance Benefit")))))))</f>
        <v/>
      </c>
      <c r="K288" s="10" t="str">
        <f t="shared" si="19"/>
        <v/>
      </c>
    </row>
    <row r="289" spans="1:11" ht="14.25" customHeight="1">
      <c r="A289" s="10" t="str">
        <f>IF(Settings!$B$4="","",IF(Settings!$B$4+ROW()-4&lt;EDATE(Settings!$B$4,12),Settings!$B$4+ROW()-4,""))</f>
        <v/>
      </c>
      <c r="B289" s="9" t="str">
        <f t="shared" si="16"/>
        <v/>
      </c>
      <c r="C289" s="10" t="str">
        <f>IF(A289="","",IF(DAY(A289)&gt;=Settings!$B$5,DATE(YEAR(A289),MONTH(A289),Settings!$B$5),DATE(YEAR(EDATE(A289,-1)),MONTH(EDATE(A289,-1)),Settings!$B$5)))</f>
        <v/>
      </c>
      <c r="D289" s="8"/>
      <c r="E289" s="10" t="str">
        <f t="shared" si="17"/>
        <v/>
      </c>
      <c r="F289" s="10" t="str">
        <f>IF(A289="","",K288+Settings!$B$8)</f>
        <v/>
      </c>
      <c r="G289" s="11" t="str">
        <f t="shared" si="18"/>
        <v/>
      </c>
      <c r="H289" s="12" t="str">
        <f>IF(G289="","",G289/Settings!$B$8)</f>
        <v/>
      </c>
      <c r="I289" s="38" t="str">
        <f>IF(H289="","",H289*Settings!$B$11)</f>
        <v/>
      </c>
      <c r="J289" s="40" t="str">
        <f>IF(E289="","",IF(E289="W","Weekly Reset",IF(H289&gt;=1,"Very High Benefit; High Unused-Allowance Risk",IF(H289&gt;Settings!$B$17,"Highly Beneficial; Allowance May Be Underused",IF(H289&gt;=Settings!$B$17,"Highly Beneficial",IF(H289&gt;=0.4,"Moderate",IF(H289&gt;0,"Low Benefit","No Advance Benefit")))))))</f>
        <v/>
      </c>
      <c r="K289" s="10" t="str">
        <f t="shared" si="19"/>
        <v/>
      </c>
    </row>
    <row r="290" spans="1:11" ht="14.25" customHeight="1">
      <c r="A290" s="10" t="str">
        <f>IF(Settings!$B$4="","",IF(Settings!$B$4+ROW()-4&lt;EDATE(Settings!$B$4,12),Settings!$B$4+ROW()-4,""))</f>
        <v/>
      </c>
      <c r="B290" s="9" t="str">
        <f t="shared" si="16"/>
        <v/>
      </c>
      <c r="C290" s="10" t="str">
        <f>IF(A290="","",IF(DAY(A290)&gt;=Settings!$B$5,DATE(YEAR(A290),MONTH(A290),Settings!$B$5),DATE(YEAR(EDATE(A290,-1)),MONTH(EDATE(A290,-1)),Settings!$B$5)))</f>
        <v/>
      </c>
      <c r="D290" s="8"/>
      <c r="E290" s="10" t="str">
        <f t="shared" si="17"/>
        <v/>
      </c>
      <c r="F290" s="10" t="str">
        <f>IF(A290="","",K289+Settings!$B$8)</f>
        <v/>
      </c>
      <c r="G290" s="11" t="str">
        <f t="shared" si="18"/>
        <v/>
      </c>
      <c r="H290" s="12" t="str">
        <f>IF(G290="","",G290/Settings!$B$8)</f>
        <v/>
      </c>
      <c r="I290" s="38" t="str">
        <f>IF(H290="","",H290*Settings!$B$11)</f>
        <v/>
      </c>
      <c r="J290" s="40" t="str">
        <f>IF(E290="","",IF(E290="W","Weekly Reset",IF(H290&gt;=1,"Very High Benefit; High Unused-Allowance Risk",IF(H290&gt;Settings!$B$17,"Highly Beneficial; Allowance May Be Underused",IF(H290&gt;=Settings!$B$17,"Highly Beneficial",IF(H290&gt;=0.4,"Moderate",IF(H290&gt;0,"Low Benefit","No Advance Benefit")))))))</f>
        <v/>
      </c>
      <c r="K290" s="10" t="str">
        <f t="shared" si="19"/>
        <v/>
      </c>
    </row>
    <row r="291" spans="1:11" ht="14.25" customHeight="1">
      <c r="A291" s="10" t="str">
        <f>IF(Settings!$B$4="","",IF(Settings!$B$4+ROW()-4&lt;EDATE(Settings!$B$4,12),Settings!$B$4+ROW()-4,""))</f>
        <v/>
      </c>
      <c r="B291" s="9" t="str">
        <f t="shared" si="16"/>
        <v/>
      </c>
      <c r="C291" s="10" t="str">
        <f>IF(A291="","",IF(DAY(A291)&gt;=Settings!$B$5,DATE(YEAR(A291),MONTH(A291),Settings!$B$5),DATE(YEAR(EDATE(A291,-1)),MONTH(EDATE(A291,-1)),Settings!$B$5)))</f>
        <v/>
      </c>
      <c r="D291" s="8"/>
      <c r="E291" s="10" t="str">
        <f t="shared" si="17"/>
        <v/>
      </c>
      <c r="F291" s="10" t="str">
        <f>IF(A291="","",K290+Settings!$B$8)</f>
        <v/>
      </c>
      <c r="G291" s="11" t="str">
        <f t="shared" si="18"/>
        <v/>
      </c>
      <c r="H291" s="12" t="str">
        <f>IF(G291="","",G291/Settings!$B$8)</f>
        <v/>
      </c>
      <c r="I291" s="38" t="str">
        <f>IF(H291="","",H291*Settings!$B$11)</f>
        <v/>
      </c>
      <c r="J291" s="40" t="str">
        <f>IF(E291="","",IF(E291="W","Weekly Reset",IF(H291&gt;=1,"Very High Benefit; High Unused-Allowance Risk",IF(H291&gt;Settings!$B$17,"Highly Beneficial; Allowance May Be Underused",IF(H291&gt;=Settings!$B$17,"Highly Beneficial",IF(H291&gt;=0.4,"Moderate",IF(H291&gt;0,"Low Benefit","No Advance Benefit")))))))</f>
        <v/>
      </c>
      <c r="K291" s="10" t="str">
        <f t="shared" si="19"/>
        <v/>
      </c>
    </row>
    <row r="292" spans="1:11" ht="14.25" customHeight="1">
      <c r="A292" s="10" t="str">
        <f>IF(Settings!$B$4="","",IF(Settings!$B$4+ROW()-4&lt;EDATE(Settings!$B$4,12),Settings!$B$4+ROW()-4,""))</f>
        <v/>
      </c>
      <c r="B292" s="9" t="str">
        <f t="shared" si="16"/>
        <v/>
      </c>
      <c r="C292" s="10" t="str">
        <f>IF(A292="","",IF(DAY(A292)&gt;=Settings!$B$5,DATE(YEAR(A292),MONTH(A292),Settings!$B$5),DATE(YEAR(EDATE(A292,-1)),MONTH(EDATE(A292,-1)),Settings!$B$5)))</f>
        <v/>
      </c>
      <c r="D292" s="8"/>
      <c r="E292" s="10" t="str">
        <f t="shared" si="17"/>
        <v/>
      </c>
      <c r="F292" s="10" t="str">
        <f>IF(A292="","",K291+Settings!$B$8)</f>
        <v/>
      </c>
      <c r="G292" s="11" t="str">
        <f t="shared" si="18"/>
        <v/>
      </c>
      <c r="H292" s="12" t="str">
        <f>IF(G292="","",G292/Settings!$B$8)</f>
        <v/>
      </c>
      <c r="I292" s="38" t="str">
        <f>IF(H292="","",H292*Settings!$B$11)</f>
        <v/>
      </c>
      <c r="J292" s="40" t="str">
        <f>IF(E292="","",IF(E292="W","Weekly Reset",IF(H292&gt;=1,"Very High Benefit; High Unused-Allowance Risk",IF(H292&gt;Settings!$B$17,"Highly Beneficial; Allowance May Be Underused",IF(H292&gt;=Settings!$B$17,"Highly Beneficial",IF(H292&gt;=0.4,"Moderate",IF(H292&gt;0,"Low Benefit","No Advance Benefit")))))))</f>
        <v/>
      </c>
      <c r="K292" s="10" t="str">
        <f t="shared" si="19"/>
        <v/>
      </c>
    </row>
    <row r="293" spans="1:11" ht="14.25" customHeight="1">
      <c r="A293" s="10" t="str">
        <f>IF(Settings!$B$4="","",IF(Settings!$B$4+ROW()-4&lt;EDATE(Settings!$B$4,12),Settings!$B$4+ROW()-4,""))</f>
        <v/>
      </c>
      <c r="B293" s="9" t="str">
        <f t="shared" si="16"/>
        <v/>
      </c>
      <c r="C293" s="10" t="str">
        <f>IF(A293="","",IF(DAY(A293)&gt;=Settings!$B$5,DATE(YEAR(A293),MONTH(A293),Settings!$B$5),DATE(YEAR(EDATE(A293,-1)),MONTH(EDATE(A293,-1)),Settings!$B$5)))</f>
        <v/>
      </c>
      <c r="D293" s="8"/>
      <c r="E293" s="10" t="str">
        <f t="shared" si="17"/>
        <v/>
      </c>
      <c r="F293" s="10" t="str">
        <f>IF(A293="","",K292+Settings!$B$8)</f>
        <v/>
      </c>
      <c r="G293" s="11" t="str">
        <f t="shared" si="18"/>
        <v/>
      </c>
      <c r="H293" s="12" t="str">
        <f>IF(G293="","",G293/Settings!$B$8)</f>
        <v/>
      </c>
      <c r="I293" s="38" t="str">
        <f>IF(H293="","",H293*Settings!$B$11)</f>
        <v/>
      </c>
      <c r="J293" s="40" t="str">
        <f>IF(E293="","",IF(E293="W","Weekly Reset",IF(H293&gt;=1,"Very High Benefit; High Unused-Allowance Risk",IF(H293&gt;Settings!$B$17,"Highly Beneficial; Allowance May Be Underused",IF(H293&gt;=Settings!$B$17,"Highly Beneficial",IF(H293&gt;=0.4,"Moderate",IF(H293&gt;0,"Low Benefit","No Advance Benefit")))))))</f>
        <v/>
      </c>
      <c r="K293" s="10" t="str">
        <f t="shared" si="19"/>
        <v/>
      </c>
    </row>
    <row r="294" spans="1:11" ht="14.25" customHeight="1">
      <c r="A294" s="10" t="str">
        <f>IF(Settings!$B$4="","",IF(Settings!$B$4+ROW()-4&lt;EDATE(Settings!$B$4,12),Settings!$B$4+ROW()-4,""))</f>
        <v/>
      </c>
      <c r="B294" s="9" t="str">
        <f t="shared" si="16"/>
        <v/>
      </c>
      <c r="C294" s="10" t="str">
        <f>IF(A294="","",IF(DAY(A294)&gt;=Settings!$B$5,DATE(YEAR(A294),MONTH(A294),Settings!$B$5),DATE(YEAR(EDATE(A294,-1)),MONTH(EDATE(A294,-1)),Settings!$B$5)))</f>
        <v/>
      </c>
      <c r="D294" s="8"/>
      <c r="E294" s="10" t="str">
        <f t="shared" si="17"/>
        <v/>
      </c>
      <c r="F294" s="10" t="str">
        <f>IF(A294="","",K293+Settings!$B$8)</f>
        <v/>
      </c>
      <c r="G294" s="11" t="str">
        <f t="shared" si="18"/>
        <v/>
      </c>
      <c r="H294" s="12" t="str">
        <f>IF(G294="","",G294/Settings!$B$8)</f>
        <v/>
      </c>
      <c r="I294" s="38" t="str">
        <f>IF(H294="","",H294*Settings!$B$11)</f>
        <v/>
      </c>
      <c r="J294" s="40" t="str">
        <f>IF(E294="","",IF(E294="W","Weekly Reset",IF(H294&gt;=1,"Very High Benefit; High Unused-Allowance Risk",IF(H294&gt;Settings!$B$17,"Highly Beneficial; Allowance May Be Underused",IF(H294&gt;=Settings!$B$17,"Highly Beneficial",IF(H294&gt;=0.4,"Moderate",IF(H294&gt;0,"Low Benefit","No Advance Benefit")))))))</f>
        <v/>
      </c>
      <c r="K294" s="10" t="str">
        <f t="shared" si="19"/>
        <v/>
      </c>
    </row>
    <row r="295" spans="1:11" ht="14.25" customHeight="1">
      <c r="A295" s="10" t="str">
        <f>IF(Settings!$B$4="","",IF(Settings!$B$4+ROW()-4&lt;EDATE(Settings!$B$4,12),Settings!$B$4+ROW()-4,""))</f>
        <v/>
      </c>
      <c r="B295" s="9" t="str">
        <f t="shared" si="16"/>
        <v/>
      </c>
      <c r="C295" s="10" t="str">
        <f>IF(A295="","",IF(DAY(A295)&gt;=Settings!$B$5,DATE(YEAR(A295),MONTH(A295),Settings!$B$5),DATE(YEAR(EDATE(A295,-1)),MONTH(EDATE(A295,-1)),Settings!$B$5)))</f>
        <v/>
      </c>
      <c r="D295" s="8"/>
      <c r="E295" s="10" t="str">
        <f t="shared" si="17"/>
        <v/>
      </c>
      <c r="F295" s="10" t="str">
        <f>IF(A295="","",K294+Settings!$B$8)</f>
        <v/>
      </c>
      <c r="G295" s="11" t="str">
        <f t="shared" si="18"/>
        <v/>
      </c>
      <c r="H295" s="12" t="str">
        <f>IF(G295="","",G295/Settings!$B$8)</f>
        <v/>
      </c>
      <c r="I295" s="38" t="str">
        <f>IF(H295="","",H295*Settings!$B$11)</f>
        <v/>
      </c>
      <c r="J295" s="40" t="str">
        <f>IF(E295="","",IF(E295="W","Weekly Reset",IF(H295&gt;=1,"Very High Benefit; High Unused-Allowance Risk",IF(H295&gt;Settings!$B$17,"Highly Beneficial; Allowance May Be Underused",IF(H295&gt;=Settings!$B$17,"Highly Beneficial",IF(H295&gt;=0.4,"Moderate",IF(H295&gt;0,"Low Benefit","No Advance Benefit")))))))</f>
        <v/>
      </c>
      <c r="K295" s="10" t="str">
        <f t="shared" si="19"/>
        <v/>
      </c>
    </row>
    <row r="296" spans="1:11" ht="14.25" customHeight="1">
      <c r="A296" s="10" t="str">
        <f>IF(Settings!$B$4="","",IF(Settings!$B$4+ROW()-4&lt;EDATE(Settings!$B$4,12),Settings!$B$4+ROW()-4,""))</f>
        <v/>
      </c>
      <c r="B296" s="9" t="str">
        <f t="shared" si="16"/>
        <v/>
      </c>
      <c r="C296" s="10" t="str">
        <f>IF(A296="","",IF(DAY(A296)&gt;=Settings!$B$5,DATE(YEAR(A296),MONTH(A296),Settings!$B$5),DATE(YEAR(EDATE(A296,-1)),MONTH(EDATE(A296,-1)),Settings!$B$5)))</f>
        <v/>
      </c>
      <c r="D296" s="8"/>
      <c r="E296" s="10" t="str">
        <f t="shared" si="17"/>
        <v/>
      </c>
      <c r="F296" s="10" t="str">
        <f>IF(A296="","",K295+Settings!$B$8)</f>
        <v/>
      </c>
      <c r="G296" s="11" t="str">
        <f t="shared" si="18"/>
        <v/>
      </c>
      <c r="H296" s="12" t="str">
        <f>IF(G296="","",G296/Settings!$B$8)</f>
        <v/>
      </c>
      <c r="I296" s="38" t="str">
        <f>IF(H296="","",H296*Settings!$B$11)</f>
        <v/>
      </c>
      <c r="J296" s="40" t="str">
        <f>IF(E296="","",IF(E296="W","Weekly Reset",IF(H296&gt;=1,"Very High Benefit; High Unused-Allowance Risk",IF(H296&gt;Settings!$B$17,"Highly Beneficial; Allowance May Be Underused",IF(H296&gt;=Settings!$B$17,"Highly Beneficial",IF(H296&gt;=0.4,"Moderate",IF(H296&gt;0,"Low Benefit","No Advance Benefit")))))))</f>
        <v/>
      </c>
      <c r="K296" s="10" t="str">
        <f t="shared" si="19"/>
        <v/>
      </c>
    </row>
    <row r="297" spans="1:11" ht="14.25" customHeight="1">
      <c r="A297" s="10" t="str">
        <f>IF(Settings!$B$4="","",IF(Settings!$B$4+ROW()-4&lt;EDATE(Settings!$B$4,12),Settings!$B$4+ROW()-4,""))</f>
        <v/>
      </c>
      <c r="B297" s="9" t="str">
        <f t="shared" si="16"/>
        <v/>
      </c>
      <c r="C297" s="10" t="str">
        <f>IF(A297="","",IF(DAY(A297)&gt;=Settings!$B$5,DATE(YEAR(A297),MONTH(A297),Settings!$B$5),DATE(YEAR(EDATE(A297,-1)),MONTH(EDATE(A297,-1)),Settings!$B$5)))</f>
        <v/>
      </c>
      <c r="D297" s="8"/>
      <c r="E297" s="10" t="str">
        <f t="shared" si="17"/>
        <v/>
      </c>
      <c r="F297" s="10" t="str">
        <f>IF(A297="","",K296+Settings!$B$8)</f>
        <v/>
      </c>
      <c r="G297" s="11" t="str">
        <f t="shared" si="18"/>
        <v/>
      </c>
      <c r="H297" s="12" t="str">
        <f>IF(G297="","",G297/Settings!$B$8)</f>
        <v/>
      </c>
      <c r="I297" s="38" t="str">
        <f>IF(H297="","",H297*Settings!$B$11)</f>
        <v/>
      </c>
      <c r="J297" s="40" t="str">
        <f>IF(E297="","",IF(E297="W","Weekly Reset",IF(H297&gt;=1,"Very High Benefit; High Unused-Allowance Risk",IF(H297&gt;Settings!$B$17,"Highly Beneficial; Allowance May Be Underused",IF(H297&gt;=Settings!$B$17,"Highly Beneficial",IF(H297&gt;=0.4,"Moderate",IF(H297&gt;0,"Low Benefit","No Advance Benefit")))))))</f>
        <v/>
      </c>
      <c r="K297" s="10" t="str">
        <f t="shared" si="19"/>
        <v/>
      </c>
    </row>
    <row r="298" spans="1:11" ht="14.25" customHeight="1">
      <c r="A298" s="10" t="str">
        <f>IF(Settings!$B$4="","",IF(Settings!$B$4+ROW()-4&lt;EDATE(Settings!$B$4,12),Settings!$B$4+ROW()-4,""))</f>
        <v/>
      </c>
      <c r="B298" s="9" t="str">
        <f t="shared" si="16"/>
        <v/>
      </c>
      <c r="C298" s="10" t="str">
        <f>IF(A298="","",IF(DAY(A298)&gt;=Settings!$B$5,DATE(YEAR(A298),MONTH(A298),Settings!$B$5),DATE(YEAR(EDATE(A298,-1)),MONTH(EDATE(A298,-1)),Settings!$B$5)))</f>
        <v/>
      </c>
      <c r="D298" s="8"/>
      <c r="E298" s="10" t="str">
        <f t="shared" si="17"/>
        <v/>
      </c>
      <c r="F298" s="10" t="str">
        <f>IF(A298="","",K297+Settings!$B$8)</f>
        <v/>
      </c>
      <c r="G298" s="11" t="str">
        <f t="shared" si="18"/>
        <v/>
      </c>
      <c r="H298" s="12" t="str">
        <f>IF(G298="","",G298/Settings!$B$8)</f>
        <v/>
      </c>
      <c r="I298" s="38" t="str">
        <f>IF(H298="","",H298*Settings!$B$11)</f>
        <v/>
      </c>
      <c r="J298" s="40" t="str">
        <f>IF(E298="","",IF(E298="W","Weekly Reset",IF(H298&gt;=1,"Very High Benefit; High Unused-Allowance Risk",IF(H298&gt;Settings!$B$17,"Highly Beneficial; Allowance May Be Underused",IF(H298&gt;=Settings!$B$17,"Highly Beneficial",IF(H298&gt;=0.4,"Moderate",IF(H298&gt;0,"Low Benefit","No Advance Benefit")))))))</f>
        <v/>
      </c>
      <c r="K298" s="10" t="str">
        <f t="shared" si="19"/>
        <v/>
      </c>
    </row>
    <row r="299" spans="1:11" ht="14.25" customHeight="1">
      <c r="A299" s="10" t="str">
        <f>IF(Settings!$B$4="","",IF(Settings!$B$4+ROW()-4&lt;EDATE(Settings!$B$4,12),Settings!$B$4+ROW()-4,""))</f>
        <v/>
      </c>
      <c r="B299" s="9" t="str">
        <f t="shared" si="16"/>
        <v/>
      </c>
      <c r="C299" s="10" t="str">
        <f>IF(A299="","",IF(DAY(A299)&gt;=Settings!$B$5,DATE(YEAR(A299),MONTH(A299),Settings!$B$5),DATE(YEAR(EDATE(A299,-1)),MONTH(EDATE(A299,-1)),Settings!$B$5)))</f>
        <v/>
      </c>
      <c r="D299" s="8"/>
      <c r="E299" s="10" t="str">
        <f t="shared" si="17"/>
        <v/>
      </c>
      <c r="F299" s="10" t="str">
        <f>IF(A299="","",K298+Settings!$B$8)</f>
        <v/>
      </c>
      <c r="G299" s="11" t="str">
        <f t="shared" si="18"/>
        <v/>
      </c>
      <c r="H299" s="12" t="str">
        <f>IF(G299="","",G299/Settings!$B$8)</f>
        <v/>
      </c>
      <c r="I299" s="38" t="str">
        <f>IF(H299="","",H299*Settings!$B$11)</f>
        <v/>
      </c>
      <c r="J299" s="40" t="str">
        <f>IF(E299="","",IF(E299="W","Weekly Reset",IF(H299&gt;=1,"Very High Benefit; High Unused-Allowance Risk",IF(H299&gt;Settings!$B$17,"Highly Beneficial; Allowance May Be Underused",IF(H299&gt;=Settings!$B$17,"Highly Beneficial",IF(H299&gt;=0.4,"Moderate",IF(H299&gt;0,"Low Benefit","No Advance Benefit")))))))</f>
        <v/>
      </c>
      <c r="K299" s="10" t="str">
        <f t="shared" si="19"/>
        <v/>
      </c>
    </row>
    <row r="300" spans="1:11" ht="14.25" customHeight="1">
      <c r="A300" s="10" t="str">
        <f>IF(Settings!$B$4="","",IF(Settings!$B$4+ROW()-4&lt;EDATE(Settings!$B$4,12),Settings!$B$4+ROW()-4,""))</f>
        <v/>
      </c>
      <c r="B300" s="9" t="str">
        <f t="shared" si="16"/>
        <v/>
      </c>
      <c r="C300" s="10" t="str">
        <f>IF(A300="","",IF(DAY(A300)&gt;=Settings!$B$5,DATE(YEAR(A300),MONTH(A300),Settings!$B$5),DATE(YEAR(EDATE(A300,-1)),MONTH(EDATE(A300,-1)),Settings!$B$5)))</f>
        <v/>
      </c>
      <c r="D300" s="8"/>
      <c r="E300" s="10" t="str">
        <f t="shared" si="17"/>
        <v/>
      </c>
      <c r="F300" s="10" t="str">
        <f>IF(A300="","",K299+Settings!$B$8)</f>
        <v/>
      </c>
      <c r="G300" s="11" t="str">
        <f t="shared" si="18"/>
        <v/>
      </c>
      <c r="H300" s="12" t="str">
        <f>IF(G300="","",G300/Settings!$B$8)</f>
        <v/>
      </c>
      <c r="I300" s="38" t="str">
        <f>IF(H300="","",H300*Settings!$B$11)</f>
        <v/>
      </c>
      <c r="J300" s="40" t="str">
        <f>IF(E300="","",IF(E300="W","Weekly Reset",IF(H300&gt;=1,"Very High Benefit; High Unused-Allowance Risk",IF(H300&gt;Settings!$B$17,"Highly Beneficial; Allowance May Be Underused",IF(H300&gt;=Settings!$B$17,"Highly Beneficial",IF(H300&gt;=0.4,"Moderate",IF(H300&gt;0,"Low Benefit","No Advance Benefit")))))))</f>
        <v/>
      </c>
      <c r="K300" s="10" t="str">
        <f t="shared" si="19"/>
        <v/>
      </c>
    </row>
    <row r="301" spans="1:11" ht="14.25" customHeight="1">
      <c r="A301" s="10" t="str">
        <f>IF(Settings!$B$4="","",IF(Settings!$B$4+ROW()-4&lt;EDATE(Settings!$B$4,12),Settings!$B$4+ROW()-4,""))</f>
        <v/>
      </c>
      <c r="B301" s="9" t="str">
        <f t="shared" si="16"/>
        <v/>
      </c>
      <c r="C301" s="10" t="str">
        <f>IF(A301="","",IF(DAY(A301)&gt;=Settings!$B$5,DATE(YEAR(A301),MONTH(A301),Settings!$B$5),DATE(YEAR(EDATE(A301,-1)),MONTH(EDATE(A301,-1)),Settings!$B$5)))</f>
        <v/>
      </c>
      <c r="D301" s="8"/>
      <c r="E301" s="10" t="str">
        <f t="shared" si="17"/>
        <v/>
      </c>
      <c r="F301" s="10" t="str">
        <f>IF(A301="","",K300+Settings!$B$8)</f>
        <v/>
      </c>
      <c r="G301" s="11" t="str">
        <f t="shared" si="18"/>
        <v/>
      </c>
      <c r="H301" s="12" t="str">
        <f>IF(G301="","",G301/Settings!$B$8)</f>
        <v/>
      </c>
      <c r="I301" s="38" t="str">
        <f>IF(H301="","",H301*Settings!$B$11)</f>
        <v/>
      </c>
      <c r="J301" s="40" t="str">
        <f>IF(E301="","",IF(E301="W","Weekly Reset",IF(H301&gt;=1,"Very High Benefit; High Unused-Allowance Risk",IF(H301&gt;Settings!$B$17,"Highly Beneficial; Allowance May Be Underused",IF(H301&gt;=Settings!$B$17,"Highly Beneficial",IF(H301&gt;=0.4,"Moderate",IF(H301&gt;0,"Low Benefit","No Advance Benefit")))))))</f>
        <v/>
      </c>
      <c r="K301" s="10" t="str">
        <f t="shared" si="19"/>
        <v/>
      </c>
    </row>
    <row r="302" spans="1:11" ht="14.25" customHeight="1">
      <c r="A302" s="10" t="str">
        <f>IF(Settings!$B$4="","",IF(Settings!$B$4+ROW()-4&lt;EDATE(Settings!$B$4,12),Settings!$B$4+ROW()-4,""))</f>
        <v/>
      </c>
      <c r="B302" s="9" t="str">
        <f t="shared" si="16"/>
        <v/>
      </c>
      <c r="C302" s="10" t="str">
        <f>IF(A302="","",IF(DAY(A302)&gt;=Settings!$B$5,DATE(YEAR(A302),MONTH(A302),Settings!$B$5),DATE(YEAR(EDATE(A302,-1)),MONTH(EDATE(A302,-1)),Settings!$B$5)))</f>
        <v/>
      </c>
      <c r="D302" s="8"/>
      <c r="E302" s="10" t="str">
        <f t="shared" si="17"/>
        <v/>
      </c>
      <c r="F302" s="10" t="str">
        <f>IF(A302="","",K301+Settings!$B$8)</f>
        <v/>
      </c>
      <c r="G302" s="11" t="str">
        <f t="shared" si="18"/>
        <v/>
      </c>
      <c r="H302" s="12" t="str">
        <f>IF(G302="","",G302/Settings!$B$8)</f>
        <v/>
      </c>
      <c r="I302" s="38" t="str">
        <f>IF(H302="","",H302*Settings!$B$11)</f>
        <v/>
      </c>
      <c r="J302" s="40" t="str">
        <f>IF(E302="","",IF(E302="W","Weekly Reset",IF(H302&gt;=1,"Very High Benefit; High Unused-Allowance Risk",IF(H302&gt;Settings!$B$17,"Highly Beneficial; Allowance May Be Underused",IF(H302&gt;=Settings!$B$17,"Highly Beneficial",IF(H302&gt;=0.4,"Moderate",IF(H302&gt;0,"Low Benefit","No Advance Benefit")))))))</f>
        <v/>
      </c>
      <c r="K302" s="10" t="str">
        <f t="shared" si="19"/>
        <v/>
      </c>
    </row>
    <row r="303" spans="1:11" ht="14.25" customHeight="1">
      <c r="A303" s="10" t="str">
        <f>IF(Settings!$B$4="","",IF(Settings!$B$4+ROW()-4&lt;EDATE(Settings!$B$4,12),Settings!$B$4+ROW()-4,""))</f>
        <v/>
      </c>
      <c r="B303" s="9" t="str">
        <f t="shared" si="16"/>
        <v/>
      </c>
      <c r="C303" s="10" t="str">
        <f>IF(A303="","",IF(DAY(A303)&gt;=Settings!$B$5,DATE(YEAR(A303),MONTH(A303),Settings!$B$5),DATE(YEAR(EDATE(A303,-1)),MONTH(EDATE(A303,-1)),Settings!$B$5)))</f>
        <v/>
      </c>
      <c r="D303" s="8"/>
      <c r="E303" s="10" t="str">
        <f t="shared" si="17"/>
        <v/>
      </c>
      <c r="F303" s="10" t="str">
        <f>IF(A303="","",K302+Settings!$B$8)</f>
        <v/>
      </c>
      <c r="G303" s="11" t="str">
        <f t="shared" si="18"/>
        <v/>
      </c>
      <c r="H303" s="12" t="str">
        <f>IF(G303="","",G303/Settings!$B$8)</f>
        <v/>
      </c>
      <c r="I303" s="38" t="str">
        <f>IF(H303="","",H303*Settings!$B$11)</f>
        <v/>
      </c>
      <c r="J303" s="40" t="str">
        <f>IF(E303="","",IF(E303="W","Weekly Reset",IF(H303&gt;=1,"Very High Benefit; High Unused-Allowance Risk",IF(H303&gt;Settings!$B$17,"Highly Beneficial; Allowance May Be Underused",IF(H303&gt;=Settings!$B$17,"Highly Beneficial",IF(H303&gt;=0.4,"Moderate",IF(H303&gt;0,"Low Benefit","No Advance Benefit")))))))</f>
        <v/>
      </c>
      <c r="K303" s="10" t="str">
        <f t="shared" si="19"/>
        <v/>
      </c>
    </row>
    <row r="304" spans="1:11" ht="14.25" customHeight="1">
      <c r="A304" s="10" t="str">
        <f>IF(Settings!$B$4="","",IF(Settings!$B$4+ROW()-4&lt;EDATE(Settings!$B$4,12),Settings!$B$4+ROW()-4,""))</f>
        <v/>
      </c>
      <c r="B304" s="9" t="str">
        <f t="shared" si="16"/>
        <v/>
      </c>
      <c r="C304" s="10" t="str">
        <f>IF(A304="","",IF(DAY(A304)&gt;=Settings!$B$5,DATE(YEAR(A304),MONTH(A304),Settings!$B$5),DATE(YEAR(EDATE(A304,-1)),MONTH(EDATE(A304,-1)),Settings!$B$5)))</f>
        <v/>
      </c>
      <c r="D304" s="8"/>
      <c r="E304" s="10" t="str">
        <f t="shared" si="17"/>
        <v/>
      </c>
      <c r="F304" s="10" t="str">
        <f>IF(A304="","",K303+Settings!$B$8)</f>
        <v/>
      </c>
      <c r="G304" s="11" t="str">
        <f t="shared" si="18"/>
        <v/>
      </c>
      <c r="H304" s="12" t="str">
        <f>IF(G304="","",G304/Settings!$B$8)</f>
        <v/>
      </c>
      <c r="I304" s="38" t="str">
        <f>IF(H304="","",H304*Settings!$B$11)</f>
        <v/>
      </c>
      <c r="J304" s="40" t="str">
        <f>IF(E304="","",IF(E304="W","Weekly Reset",IF(H304&gt;=1,"Very High Benefit; High Unused-Allowance Risk",IF(H304&gt;Settings!$B$17,"Highly Beneficial; Allowance May Be Underused",IF(H304&gt;=Settings!$B$17,"Highly Beneficial",IF(H304&gt;=0.4,"Moderate",IF(H304&gt;0,"Low Benefit","No Advance Benefit")))))))</f>
        <v/>
      </c>
      <c r="K304" s="10" t="str">
        <f t="shared" si="19"/>
        <v/>
      </c>
    </row>
    <row r="305" spans="1:11" ht="14.25" customHeight="1">
      <c r="A305" s="10" t="str">
        <f>IF(Settings!$B$4="","",IF(Settings!$B$4+ROW()-4&lt;EDATE(Settings!$B$4,12),Settings!$B$4+ROW()-4,""))</f>
        <v/>
      </c>
      <c r="B305" s="9" t="str">
        <f t="shared" si="16"/>
        <v/>
      </c>
      <c r="C305" s="10" t="str">
        <f>IF(A305="","",IF(DAY(A305)&gt;=Settings!$B$5,DATE(YEAR(A305),MONTH(A305),Settings!$B$5),DATE(YEAR(EDATE(A305,-1)),MONTH(EDATE(A305,-1)),Settings!$B$5)))</f>
        <v/>
      </c>
      <c r="D305" s="8"/>
      <c r="E305" s="10" t="str">
        <f t="shared" si="17"/>
        <v/>
      </c>
      <c r="F305" s="10" t="str">
        <f>IF(A305="","",K304+Settings!$B$8)</f>
        <v/>
      </c>
      <c r="G305" s="11" t="str">
        <f t="shared" si="18"/>
        <v/>
      </c>
      <c r="H305" s="12" t="str">
        <f>IF(G305="","",G305/Settings!$B$8)</f>
        <v/>
      </c>
      <c r="I305" s="38" t="str">
        <f>IF(H305="","",H305*Settings!$B$11)</f>
        <v/>
      </c>
      <c r="J305" s="40" t="str">
        <f>IF(E305="","",IF(E305="W","Weekly Reset",IF(H305&gt;=1,"Very High Benefit; High Unused-Allowance Risk",IF(H305&gt;Settings!$B$17,"Highly Beneficial; Allowance May Be Underused",IF(H305&gt;=Settings!$B$17,"Highly Beneficial",IF(H305&gt;=0.4,"Moderate",IF(H305&gt;0,"Low Benefit","No Advance Benefit")))))))</f>
        <v/>
      </c>
      <c r="K305" s="10" t="str">
        <f t="shared" si="19"/>
        <v/>
      </c>
    </row>
    <row r="306" spans="1:11" ht="14.25" customHeight="1">
      <c r="A306" s="10" t="str">
        <f>IF(Settings!$B$4="","",IF(Settings!$B$4+ROW()-4&lt;EDATE(Settings!$B$4,12),Settings!$B$4+ROW()-4,""))</f>
        <v/>
      </c>
      <c r="B306" s="9" t="str">
        <f t="shared" si="16"/>
        <v/>
      </c>
      <c r="C306" s="10" t="str">
        <f>IF(A306="","",IF(DAY(A306)&gt;=Settings!$B$5,DATE(YEAR(A306),MONTH(A306),Settings!$B$5),DATE(YEAR(EDATE(A306,-1)),MONTH(EDATE(A306,-1)),Settings!$B$5)))</f>
        <v/>
      </c>
      <c r="D306" s="8"/>
      <c r="E306" s="10" t="str">
        <f t="shared" si="17"/>
        <v/>
      </c>
      <c r="F306" s="10" t="str">
        <f>IF(A306="","",K305+Settings!$B$8)</f>
        <v/>
      </c>
      <c r="G306" s="11" t="str">
        <f t="shared" si="18"/>
        <v/>
      </c>
      <c r="H306" s="12" t="str">
        <f>IF(G306="","",G306/Settings!$B$8)</f>
        <v/>
      </c>
      <c r="I306" s="38" t="str">
        <f>IF(H306="","",H306*Settings!$B$11)</f>
        <v/>
      </c>
      <c r="J306" s="40" t="str">
        <f>IF(E306="","",IF(E306="W","Weekly Reset",IF(H306&gt;=1,"Very High Benefit; High Unused-Allowance Risk",IF(H306&gt;Settings!$B$17,"Highly Beneficial; Allowance May Be Underused",IF(H306&gt;=Settings!$B$17,"Highly Beneficial",IF(H306&gt;=0.4,"Moderate",IF(H306&gt;0,"Low Benefit","No Advance Benefit")))))))</f>
        <v/>
      </c>
      <c r="K306" s="10" t="str">
        <f t="shared" si="19"/>
        <v/>
      </c>
    </row>
    <row r="307" spans="1:11" ht="14.25" customHeight="1">
      <c r="A307" s="10" t="str">
        <f>IF(Settings!$B$4="","",IF(Settings!$B$4+ROW()-4&lt;EDATE(Settings!$B$4,12),Settings!$B$4+ROW()-4,""))</f>
        <v/>
      </c>
      <c r="B307" s="9" t="str">
        <f t="shared" si="16"/>
        <v/>
      </c>
      <c r="C307" s="10" t="str">
        <f>IF(A307="","",IF(DAY(A307)&gt;=Settings!$B$5,DATE(YEAR(A307),MONTH(A307),Settings!$B$5),DATE(YEAR(EDATE(A307,-1)),MONTH(EDATE(A307,-1)),Settings!$B$5)))</f>
        <v/>
      </c>
      <c r="D307" s="8"/>
      <c r="E307" s="10" t="str">
        <f t="shared" si="17"/>
        <v/>
      </c>
      <c r="F307" s="10" t="str">
        <f>IF(A307="","",K306+Settings!$B$8)</f>
        <v/>
      </c>
      <c r="G307" s="11" t="str">
        <f t="shared" si="18"/>
        <v/>
      </c>
      <c r="H307" s="12" t="str">
        <f>IF(G307="","",G307/Settings!$B$8)</f>
        <v/>
      </c>
      <c r="I307" s="38" t="str">
        <f>IF(H307="","",H307*Settings!$B$11)</f>
        <v/>
      </c>
      <c r="J307" s="40" t="str">
        <f>IF(E307="","",IF(E307="W","Weekly Reset",IF(H307&gt;=1,"Very High Benefit; High Unused-Allowance Risk",IF(H307&gt;Settings!$B$17,"Highly Beneficial; Allowance May Be Underused",IF(H307&gt;=Settings!$B$17,"Highly Beneficial",IF(H307&gt;=0.4,"Moderate",IF(H307&gt;0,"Low Benefit","No Advance Benefit")))))))</f>
        <v/>
      </c>
      <c r="K307" s="10" t="str">
        <f t="shared" si="19"/>
        <v/>
      </c>
    </row>
    <row r="308" spans="1:11" ht="14.25" customHeight="1">
      <c r="A308" s="10" t="str">
        <f>IF(Settings!$B$4="","",IF(Settings!$B$4+ROW()-4&lt;EDATE(Settings!$B$4,12),Settings!$B$4+ROW()-4,""))</f>
        <v/>
      </c>
      <c r="B308" s="9" t="str">
        <f t="shared" si="16"/>
        <v/>
      </c>
      <c r="C308" s="10" t="str">
        <f>IF(A308="","",IF(DAY(A308)&gt;=Settings!$B$5,DATE(YEAR(A308),MONTH(A308),Settings!$B$5),DATE(YEAR(EDATE(A308,-1)),MONTH(EDATE(A308,-1)),Settings!$B$5)))</f>
        <v/>
      </c>
      <c r="D308" s="8"/>
      <c r="E308" s="10" t="str">
        <f t="shared" si="17"/>
        <v/>
      </c>
      <c r="F308" s="10" t="str">
        <f>IF(A308="","",K307+Settings!$B$8)</f>
        <v/>
      </c>
      <c r="G308" s="11" t="str">
        <f t="shared" si="18"/>
        <v/>
      </c>
      <c r="H308" s="12" t="str">
        <f>IF(G308="","",G308/Settings!$B$8)</f>
        <v/>
      </c>
      <c r="I308" s="38" t="str">
        <f>IF(H308="","",H308*Settings!$B$11)</f>
        <v/>
      </c>
      <c r="J308" s="40" t="str">
        <f>IF(E308="","",IF(E308="W","Weekly Reset",IF(H308&gt;=1,"Very High Benefit; High Unused-Allowance Risk",IF(H308&gt;Settings!$B$17,"Highly Beneficial; Allowance May Be Underused",IF(H308&gt;=Settings!$B$17,"Highly Beneficial",IF(H308&gt;=0.4,"Moderate",IF(H308&gt;0,"Low Benefit","No Advance Benefit")))))))</f>
        <v/>
      </c>
      <c r="K308" s="10" t="str">
        <f t="shared" si="19"/>
        <v/>
      </c>
    </row>
    <row r="309" spans="1:11" ht="14.25" customHeight="1">
      <c r="A309" s="10" t="str">
        <f>IF(Settings!$B$4="","",IF(Settings!$B$4+ROW()-4&lt;EDATE(Settings!$B$4,12),Settings!$B$4+ROW()-4,""))</f>
        <v/>
      </c>
      <c r="B309" s="9" t="str">
        <f t="shared" si="16"/>
        <v/>
      </c>
      <c r="C309" s="10" t="str">
        <f>IF(A309="","",IF(DAY(A309)&gt;=Settings!$B$5,DATE(YEAR(A309),MONTH(A309),Settings!$B$5),DATE(YEAR(EDATE(A309,-1)),MONTH(EDATE(A309,-1)),Settings!$B$5)))</f>
        <v/>
      </c>
      <c r="D309" s="8"/>
      <c r="E309" s="10" t="str">
        <f t="shared" si="17"/>
        <v/>
      </c>
      <c r="F309" s="10" t="str">
        <f>IF(A309="","",K308+Settings!$B$8)</f>
        <v/>
      </c>
      <c r="G309" s="11" t="str">
        <f t="shared" si="18"/>
        <v/>
      </c>
      <c r="H309" s="12" t="str">
        <f>IF(G309="","",G309/Settings!$B$8)</f>
        <v/>
      </c>
      <c r="I309" s="38" t="str">
        <f>IF(H309="","",H309*Settings!$B$11)</f>
        <v/>
      </c>
      <c r="J309" s="40" t="str">
        <f>IF(E309="","",IF(E309="W","Weekly Reset",IF(H309&gt;=1,"Very High Benefit; High Unused-Allowance Risk",IF(H309&gt;Settings!$B$17,"Highly Beneficial; Allowance May Be Underused",IF(H309&gt;=Settings!$B$17,"Highly Beneficial",IF(H309&gt;=0.4,"Moderate",IF(H309&gt;0,"Low Benefit","No Advance Benefit")))))))</f>
        <v/>
      </c>
      <c r="K309" s="10" t="str">
        <f t="shared" si="19"/>
        <v/>
      </c>
    </row>
    <row r="310" spans="1:11" ht="14.25" customHeight="1">
      <c r="A310" s="10" t="str">
        <f>IF(Settings!$B$4="","",IF(Settings!$B$4+ROW()-4&lt;EDATE(Settings!$B$4,12),Settings!$B$4+ROW()-4,""))</f>
        <v/>
      </c>
      <c r="B310" s="9" t="str">
        <f t="shared" si="16"/>
        <v/>
      </c>
      <c r="C310" s="10" t="str">
        <f>IF(A310="","",IF(DAY(A310)&gt;=Settings!$B$5,DATE(YEAR(A310),MONTH(A310),Settings!$B$5),DATE(YEAR(EDATE(A310,-1)),MONTH(EDATE(A310,-1)),Settings!$B$5)))</f>
        <v/>
      </c>
      <c r="D310" s="8"/>
      <c r="E310" s="10" t="str">
        <f t="shared" si="17"/>
        <v/>
      </c>
      <c r="F310" s="10" t="str">
        <f>IF(A310="","",K309+Settings!$B$8)</f>
        <v/>
      </c>
      <c r="G310" s="11" t="str">
        <f t="shared" si="18"/>
        <v/>
      </c>
      <c r="H310" s="12" t="str">
        <f>IF(G310="","",G310/Settings!$B$8)</f>
        <v/>
      </c>
      <c r="I310" s="38" t="str">
        <f>IF(H310="","",H310*Settings!$B$11)</f>
        <v/>
      </c>
      <c r="J310" s="40" t="str">
        <f>IF(E310="","",IF(E310="W","Weekly Reset",IF(H310&gt;=1,"Very High Benefit; High Unused-Allowance Risk",IF(H310&gt;Settings!$B$17,"Highly Beneficial; Allowance May Be Underused",IF(H310&gt;=Settings!$B$17,"Highly Beneficial",IF(H310&gt;=0.4,"Moderate",IF(H310&gt;0,"Low Benefit","No Advance Benefit")))))))</f>
        <v/>
      </c>
      <c r="K310" s="10" t="str">
        <f t="shared" si="19"/>
        <v/>
      </c>
    </row>
    <row r="311" spans="1:11" ht="14.25" customHeight="1">
      <c r="A311" s="10" t="str">
        <f>IF(Settings!$B$4="","",IF(Settings!$B$4+ROW()-4&lt;EDATE(Settings!$B$4,12),Settings!$B$4+ROW()-4,""))</f>
        <v/>
      </c>
      <c r="B311" s="9" t="str">
        <f t="shared" si="16"/>
        <v/>
      </c>
      <c r="C311" s="10" t="str">
        <f>IF(A311="","",IF(DAY(A311)&gt;=Settings!$B$5,DATE(YEAR(A311),MONTH(A311),Settings!$B$5),DATE(YEAR(EDATE(A311,-1)),MONTH(EDATE(A311,-1)),Settings!$B$5)))</f>
        <v/>
      </c>
      <c r="D311" s="8"/>
      <c r="E311" s="10" t="str">
        <f t="shared" si="17"/>
        <v/>
      </c>
      <c r="F311" s="10" t="str">
        <f>IF(A311="","",K310+Settings!$B$8)</f>
        <v/>
      </c>
      <c r="G311" s="11" t="str">
        <f t="shared" si="18"/>
        <v/>
      </c>
      <c r="H311" s="12" t="str">
        <f>IF(G311="","",G311/Settings!$B$8)</f>
        <v/>
      </c>
      <c r="I311" s="38" t="str">
        <f>IF(H311="","",H311*Settings!$B$11)</f>
        <v/>
      </c>
      <c r="J311" s="40" t="str">
        <f>IF(E311="","",IF(E311="W","Weekly Reset",IF(H311&gt;=1,"Very High Benefit; High Unused-Allowance Risk",IF(H311&gt;Settings!$B$17,"Highly Beneficial; Allowance May Be Underused",IF(H311&gt;=Settings!$B$17,"Highly Beneficial",IF(H311&gt;=0.4,"Moderate",IF(H311&gt;0,"Low Benefit","No Advance Benefit")))))))</f>
        <v/>
      </c>
      <c r="K311" s="10" t="str">
        <f t="shared" si="19"/>
        <v/>
      </c>
    </row>
    <row r="312" spans="1:11" ht="14.25" customHeight="1">
      <c r="A312" s="10" t="str">
        <f>IF(Settings!$B$4="","",IF(Settings!$B$4+ROW()-4&lt;EDATE(Settings!$B$4,12),Settings!$B$4+ROW()-4,""))</f>
        <v/>
      </c>
      <c r="B312" s="9" t="str">
        <f t="shared" si="16"/>
        <v/>
      </c>
      <c r="C312" s="10" t="str">
        <f>IF(A312="","",IF(DAY(A312)&gt;=Settings!$B$5,DATE(YEAR(A312),MONTH(A312),Settings!$B$5),DATE(YEAR(EDATE(A312,-1)),MONTH(EDATE(A312,-1)),Settings!$B$5)))</f>
        <v/>
      </c>
      <c r="D312" s="8"/>
      <c r="E312" s="10" t="str">
        <f t="shared" si="17"/>
        <v/>
      </c>
      <c r="F312" s="10" t="str">
        <f>IF(A312="","",K311+Settings!$B$8)</f>
        <v/>
      </c>
      <c r="G312" s="11" t="str">
        <f t="shared" si="18"/>
        <v/>
      </c>
      <c r="H312" s="12" t="str">
        <f>IF(G312="","",G312/Settings!$B$8)</f>
        <v/>
      </c>
      <c r="I312" s="38" t="str">
        <f>IF(H312="","",H312*Settings!$B$11)</f>
        <v/>
      </c>
      <c r="J312" s="40" t="str">
        <f>IF(E312="","",IF(E312="W","Weekly Reset",IF(H312&gt;=1,"Very High Benefit; High Unused-Allowance Risk",IF(H312&gt;Settings!$B$17,"Highly Beneficial; Allowance May Be Underused",IF(H312&gt;=Settings!$B$17,"Highly Beneficial",IF(H312&gt;=0.4,"Moderate",IF(H312&gt;0,"Low Benefit","No Advance Benefit")))))))</f>
        <v/>
      </c>
      <c r="K312" s="10" t="str">
        <f t="shared" si="19"/>
        <v/>
      </c>
    </row>
    <row r="313" spans="1:11" ht="14.25" customHeight="1">
      <c r="A313" s="10" t="str">
        <f>IF(Settings!$B$4="","",IF(Settings!$B$4+ROW()-4&lt;EDATE(Settings!$B$4,12),Settings!$B$4+ROW()-4,""))</f>
        <v/>
      </c>
      <c r="B313" s="9" t="str">
        <f t="shared" si="16"/>
        <v/>
      </c>
      <c r="C313" s="10" t="str">
        <f>IF(A313="","",IF(DAY(A313)&gt;=Settings!$B$5,DATE(YEAR(A313),MONTH(A313),Settings!$B$5),DATE(YEAR(EDATE(A313,-1)),MONTH(EDATE(A313,-1)),Settings!$B$5)))</f>
        <v/>
      </c>
      <c r="D313" s="8"/>
      <c r="E313" s="10" t="str">
        <f t="shared" si="17"/>
        <v/>
      </c>
      <c r="F313" s="10" t="str">
        <f>IF(A313="","",K312+Settings!$B$8)</f>
        <v/>
      </c>
      <c r="G313" s="11" t="str">
        <f t="shared" si="18"/>
        <v/>
      </c>
      <c r="H313" s="12" t="str">
        <f>IF(G313="","",G313/Settings!$B$8)</f>
        <v/>
      </c>
      <c r="I313" s="38" t="str">
        <f>IF(H313="","",H313*Settings!$B$11)</f>
        <v/>
      </c>
      <c r="J313" s="40" t="str">
        <f>IF(E313="","",IF(E313="W","Weekly Reset",IF(H313&gt;=1,"Very High Benefit; High Unused-Allowance Risk",IF(H313&gt;Settings!$B$17,"Highly Beneficial; Allowance May Be Underused",IF(H313&gt;=Settings!$B$17,"Highly Beneficial",IF(H313&gt;=0.4,"Moderate",IF(H313&gt;0,"Low Benefit","No Advance Benefit")))))))</f>
        <v/>
      </c>
      <c r="K313" s="10" t="str">
        <f t="shared" si="19"/>
        <v/>
      </c>
    </row>
    <row r="314" spans="1:11" ht="14.25" customHeight="1">
      <c r="A314" s="10" t="str">
        <f>IF(Settings!$B$4="","",IF(Settings!$B$4+ROW()-4&lt;EDATE(Settings!$B$4,12),Settings!$B$4+ROW()-4,""))</f>
        <v/>
      </c>
      <c r="B314" s="9" t="str">
        <f t="shared" si="16"/>
        <v/>
      </c>
      <c r="C314" s="10" t="str">
        <f>IF(A314="","",IF(DAY(A314)&gt;=Settings!$B$5,DATE(YEAR(A314),MONTH(A314),Settings!$B$5),DATE(YEAR(EDATE(A314,-1)),MONTH(EDATE(A314,-1)),Settings!$B$5)))</f>
        <v/>
      </c>
      <c r="D314" s="8"/>
      <c r="E314" s="10" t="str">
        <f t="shared" si="17"/>
        <v/>
      </c>
      <c r="F314" s="10" t="str">
        <f>IF(A314="","",K313+Settings!$B$8)</f>
        <v/>
      </c>
      <c r="G314" s="11" t="str">
        <f t="shared" si="18"/>
        <v/>
      </c>
      <c r="H314" s="12" t="str">
        <f>IF(G314="","",G314/Settings!$B$8)</f>
        <v/>
      </c>
      <c r="I314" s="38" t="str">
        <f>IF(H314="","",H314*Settings!$B$11)</f>
        <v/>
      </c>
      <c r="J314" s="40" t="str">
        <f>IF(E314="","",IF(E314="W","Weekly Reset",IF(H314&gt;=1,"Very High Benefit; High Unused-Allowance Risk",IF(H314&gt;Settings!$B$17,"Highly Beneficial; Allowance May Be Underused",IF(H314&gt;=Settings!$B$17,"Highly Beneficial",IF(H314&gt;=0.4,"Moderate",IF(H314&gt;0,"Low Benefit","No Advance Benefit")))))))</f>
        <v/>
      </c>
      <c r="K314" s="10" t="str">
        <f t="shared" si="19"/>
        <v/>
      </c>
    </row>
    <row r="315" spans="1:11" ht="14.25" customHeight="1">
      <c r="A315" s="10" t="str">
        <f>IF(Settings!$B$4="","",IF(Settings!$B$4+ROW()-4&lt;EDATE(Settings!$B$4,12),Settings!$B$4+ROW()-4,""))</f>
        <v/>
      </c>
      <c r="B315" s="9" t="str">
        <f t="shared" si="16"/>
        <v/>
      </c>
      <c r="C315" s="10" t="str">
        <f>IF(A315="","",IF(DAY(A315)&gt;=Settings!$B$5,DATE(YEAR(A315),MONTH(A315),Settings!$B$5),DATE(YEAR(EDATE(A315,-1)),MONTH(EDATE(A315,-1)),Settings!$B$5)))</f>
        <v/>
      </c>
      <c r="D315" s="8"/>
      <c r="E315" s="10" t="str">
        <f t="shared" si="17"/>
        <v/>
      </c>
      <c r="F315" s="10" t="str">
        <f>IF(A315="","",K314+Settings!$B$8)</f>
        <v/>
      </c>
      <c r="G315" s="11" t="str">
        <f t="shared" si="18"/>
        <v/>
      </c>
      <c r="H315" s="12" t="str">
        <f>IF(G315="","",G315/Settings!$B$8)</f>
        <v/>
      </c>
      <c r="I315" s="38" t="str">
        <f>IF(H315="","",H315*Settings!$B$11)</f>
        <v/>
      </c>
      <c r="J315" s="40" t="str">
        <f>IF(E315="","",IF(E315="W","Weekly Reset",IF(H315&gt;=1,"Very High Benefit; High Unused-Allowance Risk",IF(H315&gt;Settings!$B$17,"Highly Beneficial; Allowance May Be Underused",IF(H315&gt;=Settings!$B$17,"Highly Beneficial",IF(H315&gt;=0.4,"Moderate",IF(H315&gt;0,"Low Benefit","No Advance Benefit")))))))</f>
        <v/>
      </c>
      <c r="K315" s="10" t="str">
        <f t="shared" si="19"/>
        <v/>
      </c>
    </row>
    <row r="316" spans="1:11" ht="14.25" customHeight="1">
      <c r="A316" s="10" t="str">
        <f>IF(Settings!$B$4="","",IF(Settings!$B$4+ROW()-4&lt;EDATE(Settings!$B$4,12),Settings!$B$4+ROW()-4,""))</f>
        <v/>
      </c>
      <c r="B316" s="9" t="str">
        <f t="shared" si="16"/>
        <v/>
      </c>
      <c r="C316" s="10" t="str">
        <f>IF(A316="","",IF(DAY(A316)&gt;=Settings!$B$5,DATE(YEAR(A316),MONTH(A316),Settings!$B$5),DATE(YEAR(EDATE(A316,-1)),MONTH(EDATE(A316,-1)),Settings!$B$5)))</f>
        <v/>
      </c>
      <c r="D316" s="8"/>
      <c r="E316" s="10" t="str">
        <f t="shared" si="17"/>
        <v/>
      </c>
      <c r="F316" s="10" t="str">
        <f>IF(A316="","",K315+Settings!$B$8)</f>
        <v/>
      </c>
      <c r="G316" s="11" t="str">
        <f t="shared" si="18"/>
        <v/>
      </c>
      <c r="H316" s="12" t="str">
        <f>IF(G316="","",G316/Settings!$B$8)</f>
        <v/>
      </c>
      <c r="I316" s="38" t="str">
        <f>IF(H316="","",H316*Settings!$B$11)</f>
        <v/>
      </c>
      <c r="J316" s="40" t="str">
        <f>IF(E316="","",IF(E316="W","Weekly Reset",IF(H316&gt;=1,"Very High Benefit; High Unused-Allowance Risk",IF(H316&gt;Settings!$B$17,"Highly Beneficial; Allowance May Be Underused",IF(H316&gt;=Settings!$B$17,"Highly Beneficial",IF(H316&gt;=0.4,"Moderate",IF(H316&gt;0,"Low Benefit","No Advance Benefit")))))))</f>
        <v/>
      </c>
      <c r="K316" s="10" t="str">
        <f t="shared" si="19"/>
        <v/>
      </c>
    </row>
    <row r="317" spans="1:11" ht="14.25" customHeight="1">
      <c r="A317" s="10" t="str">
        <f>IF(Settings!$B$4="","",IF(Settings!$B$4+ROW()-4&lt;EDATE(Settings!$B$4,12),Settings!$B$4+ROW()-4,""))</f>
        <v/>
      </c>
      <c r="B317" s="9" t="str">
        <f t="shared" si="16"/>
        <v/>
      </c>
      <c r="C317" s="10" t="str">
        <f>IF(A317="","",IF(DAY(A317)&gt;=Settings!$B$5,DATE(YEAR(A317),MONTH(A317),Settings!$B$5),DATE(YEAR(EDATE(A317,-1)),MONTH(EDATE(A317,-1)),Settings!$B$5)))</f>
        <v/>
      </c>
      <c r="D317" s="8"/>
      <c r="E317" s="10" t="str">
        <f t="shared" si="17"/>
        <v/>
      </c>
      <c r="F317" s="10" t="str">
        <f>IF(A317="","",K316+Settings!$B$8)</f>
        <v/>
      </c>
      <c r="G317" s="11" t="str">
        <f t="shared" si="18"/>
        <v/>
      </c>
      <c r="H317" s="12" t="str">
        <f>IF(G317="","",G317/Settings!$B$8)</f>
        <v/>
      </c>
      <c r="I317" s="38" t="str">
        <f>IF(H317="","",H317*Settings!$B$11)</f>
        <v/>
      </c>
      <c r="J317" s="40" t="str">
        <f>IF(E317="","",IF(E317="W","Weekly Reset",IF(H317&gt;=1,"Very High Benefit; High Unused-Allowance Risk",IF(H317&gt;Settings!$B$17,"Highly Beneficial; Allowance May Be Underused",IF(H317&gt;=Settings!$B$17,"Highly Beneficial",IF(H317&gt;=0.4,"Moderate",IF(H317&gt;0,"Low Benefit","No Advance Benefit")))))))</f>
        <v/>
      </c>
      <c r="K317" s="10" t="str">
        <f t="shared" si="19"/>
        <v/>
      </c>
    </row>
    <row r="318" spans="1:11" ht="14.25" customHeight="1">
      <c r="A318" s="10" t="str">
        <f>IF(Settings!$B$4="","",IF(Settings!$B$4+ROW()-4&lt;EDATE(Settings!$B$4,12),Settings!$B$4+ROW()-4,""))</f>
        <v/>
      </c>
      <c r="B318" s="9" t="str">
        <f t="shared" si="16"/>
        <v/>
      </c>
      <c r="C318" s="10" t="str">
        <f>IF(A318="","",IF(DAY(A318)&gt;=Settings!$B$5,DATE(YEAR(A318),MONTH(A318),Settings!$B$5),DATE(YEAR(EDATE(A318,-1)),MONTH(EDATE(A318,-1)),Settings!$B$5)))</f>
        <v/>
      </c>
      <c r="D318" s="8"/>
      <c r="E318" s="10" t="str">
        <f t="shared" si="17"/>
        <v/>
      </c>
      <c r="F318" s="10" t="str">
        <f>IF(A318="","",K317+Settings!$B$8)</f>
        <v/>
      </c>
      <c r="G318" s="11" t="str">
        <f t="shared" si="18"/>
        <v/>
      </c>
      <c r="H318" s="12" t="str">
        <f>IF(G318="","",G318/Settings!$B$8)</f>
        <v/>
      </c>
      <c r="I318" s="38" t="str">
        <f>IF(H318="","",H318*Settings!$B$11)</f>
        <v/>
      </c>
      <c r="J318" s="40" t="str">
        <f>IF(E318="","",IF(E318="W","Weekly Reset",IF(H318&gt;=1,"Very High Benefit; High Unused-Allowance Risk",IF(H318&gt;Settings!$B$17,"Highly Beneficial; Allowance May Be Underused",IF(H318&gt;=Settings!$B$17,"Highly Beneficial",IF(H318&gt;=0.4,"Moderate",IF(H318&gt;0,"Low Benefit","No Advance Benefit")))))))</f>
        <v/>
      </c>
      <c r="K318" s="10" t="str">
        <f t="shared" si="19"/>
        <v/>
      </c>
    </row>
    <row r="319" spans="1:11" ht="14.25" customHeight="1">
      <c r="A319" s="10" t="str">
        <f>IF(Settings!$B$4="","",IF(Settings!$B$4+ROW()-4&lt;EDATE(Settings!$B$4,12),Settings!$B$4+ROW()-4,""))</f>
        <v/>
      </c>
      <c r="B319" s="9" t="str">
        <f t="shared" si="16"/>
        <v/>
      </c>
      <c r="C319" s="10" t="str">
        <f>IF(A319="","",IF(DAY(A319)&gt;=Settings!$B$5,DATE(YEAR(A319),MONTH(A319),Settings!$B$5),DATE(YEAR(EDATE(A319,-1)),MONTH(EDATE(A319,-1)),Settings!$B$5)))</f>
        <v/>
      </c>
      <c r="D319" s="8"/>
      <c r="E319" s="10" t="str">
        <f t="shared" si="17"/>
        <v/>
      </c>
      <c r="F319" s="10" t="str">
        <f>IF(A319="","",K318+Settings!$B$8)</f>
        <v/>
      </c>
      <c r="G319" s="11" t="str">
        <f t="shared" si="18"/>
        <v/>
      </c>
      <c r="H319" s="12" t="str">
        <f>IF(G319="","",G319/Settings!$B$8)</f>
        <v/>
      </c>
      <c r="I319" s="38" t="str">
        <f>IF(H319="","",H319*Settings!$B$11)</f>
        <v/>
      </c>
      <c r="J319" s="40" t="str">
        <f>IF(E319="","",IF(E319="W","Weekly Reset",IF(H319&gt;=1,"Very High Benefit; High Unused-Allowance Risk",IF(H319&gt;Settings!$B$17,"Highly Beneficial; Allowance May Be Underused",IF(H319&gt;=Settings!$B$17,"Highly Beneficial",IF(H319&gt;=0.4,"Moderate",IF(H319&gt;0,"Low Benefit","No Advance Benefit")))))))</f>
        <v/>
      </c>
      <c r="K319" s="10" t="str">
        <f t="shared" si="19"/>
        <v/>
      </c>
    </row>
    <row r="320" spans="1:11" ht="14.25" customHeight="1">
      <c r="A320" s="10" t="str">
        <f>IF(Settings!$B$4="","",IF(Settings!$B$4+ROW()-4&lt;EDATE(Settings!$B$4,12),Settings!$B$4+ROW()-4,""))</f>
        <v/>
      </c>
      <c r="B320" s="9" t="str">
        <f t="shared" si="16"/>
        <v/>
      </c>
      <c r="C320" s="10" t="str">
        <f>IF(A320="","",IF(DAY(A320)&gt;=Settings!$B$5,DATE(YEAR(A320),MONTH(A320),Settings!$B$5),DATE(YEAR(EDATE(A320,-1)),MONTH(EDATE(A320,-1)),Settings!$B$5)))</f>
        <v/>
      </c>
      <c r="D320" s="8"/>
      <c r="E320" s="10" t="str">
        <f t="shared" si="17"/>
        <v/>
      </c>
      <c r="F320" s="10" t="str">
        <f>IF(A320="","",K319+Settings!$B$8)</f>
        <v/>
      </c>
      <c r="G320" s="11" t="str">
        <f t="shared" si="18"/>
        <v/>
      </c>
      <c r="H320" s="12" t="str">
        <f>IF(G320="","",G320/Settings!$B$8)</f>
        <v/>
      </c>
      <c r="I320" s="38" t="str">
        <f>IF(H320="","",H320*Settings!$B$11)</f>
        <v/>
      </c>
      <c r="J320" s="40" t="str">
        <f>IF(E320="","",IF(E320="W","Weekly Reset",IF(H320&gt;=1,"Very High Benefit; High Unused-Allowance Risk",IF(H320&gt;Settings!$B$17,"Highly Beneficial; Allowance May Be Underused",IF(H320&gt;=Settings!$B$17,"Highly Beneficial",IF(H320&gt;=0.4,"Moderate",IF(H320&gt;0,"Low Benefit","No Advance Benefit")))))))</f>
        <v/>
      </c>
      <c r="K320" s="10" t="str">
        <f t="shared" si="19"/>
        <v/>
      </c>
    </row>
    <row r="321" spans="1:11" ht="14.25" customHeight="1">
      <c r="A321" s="10" t="str">
        <f>IF(Settings!$B$4="","",IF(Settings!$B$4+ROW()-4&lt;EDATE(Settings!$B$4,12),Settings!$B$4+ROW()-4,""))</f>
        <v/>
      </c>
      <c r="B321" s="9" t="str">
        <f t="shared" si="16"/>
        <v/>
      </c>
      <c r="C321" s="10" t="str">
        <f>IF(A321="","",IF(DAY(A321)&gt;=Settings!$B$5,DATE(YEAR(A321),MONTH(A321),Settings!$B$5),DATE(YEAR(EDATE(A321,-1)),MONTH(EDATE(A321,-1)),Settings!$B$5)))</f>
        <v/>
      </c>
      <c r="D321" s="8"/>
      <c r="E321" s="10" t="str">
        <f t="shared" si="17"/>
        <v/>
      </c>
      <c r="F321" s="10" t="str">
        <f>IF(A321="","",K320+Settings!$B$8)</f>
        <v/>
      </c>
      <c r="G321" s="11" t="str">
        <f t="shared" si="18"/>
        <v/>
      </c>
      <c r="H321" s="12" t="str">
        <f>IF(G321="","",G321/Settings!$B$8)</f>
        <v/>
      </c>
      <c r="I321" s="38" t="str">
        <f>IF(H321="","",H321*Settings!$B$11)</f>
        <v/>
      </c>
      <c r="J321" s="40" t="str">
        <f>IF(E321="","",IF(E321="W","Weekly Reset",IF(H321&gt;=1,"Very High Benefit; High Unused-Allowance Risk",IF(H321&gt;Settings!$B$17,"Highly Beneficial; Allowance May Be Underused",IF(H321&gt;=Settings!$B$17,"Highly Beneficial",IF(H321&gt;=0.4,"Moderate",IF(H321&gt;0,"Low Benefit","No Advance Benefit")))))))</f>
        <v/>
      </c>
      <c r="K321" s="10" t="str">
        <f t="shared" si="19"/>
        <v/>
      </c>
    </row>
    <row r="322" spans="1:11" ht="14.25" customHeight="1">
      <c r="A322" s="10" t="str">
        <f>IF(Settings!$B$4="","",IF(Settings!$B$4+ROW()-4&lt;EDATE(Settings!$B$4,12),Settings!$B$4+ROW()-4,""))</f>
        <v/>
      </c>
      <c r="B322" s="9" t="str">
        <f t="shared" si="16"/>
        <v/>
      </c>
      <c r="C322" s="10" t="str">
        <f>IF(A322="","",IF(DAY(A322)&gt;=Settings!$B$5,DATE(YEAR(A322),MONTH(A322),Settings!$B$5),DATE(YEAR(EDATE(A322,-1)),MONTH(EDATE(A322,-1)),Settings!$B$5)))</f>
        <v/>
      </c>
      <c r="D322" s="8"/>
      <c r="E322" s="10" t="str">
        <f t="shared" si="17"/>
        <v/>
      </c>
      <c r="F322" s="10" t="str">
        <f>IF(A322="","",K321+Settings!$B$8)</f>
        <v/>
      </c>
      <c r="G322" s="11" t="str">
        <f t="shared" si="18"/>
        <v/>
      </c>
      <c r="H322" s="12" t="str">
        <f>IF(G322="","",G322/Settings!$B$8)</f>
        <v/>
      </c>
      <c r="I322" s="38" t="str">
        <f>IF(H322="","",H322*Settings!$B$11)</f>
        <v/>
      </c>
      <c r="J322" s="40" t="str">
        <f>IF(E322="","",IF(E322="W","Weekly Reset",IF(H322&gt;=1,"Very High Benefit; High Unused-Allowance Risk",IF(H322&gt;Settings!$B$17,"Highly Beneficial; Allowance May Be Underused",IF(H322&gt;=Settings!$B$17,"Highly Beneficial",IF(H322&gt;=0.4,"Moderate",IF(H322&gt;0,"Low Benefit","No Advance Benefit")))))))</f>
        <v/>
      </c>
      <c r="K322" s="10" t="str">
        <f t="shared" si="19"/>
        <v/>
      </c>
    </row>
    <row r="323" spans="1:11" ht="14.25" customHeight="1">
      <c r="A323" s="10" t="str">
        <f>IF(Settings!$B$4="","",IF(Settings!$B$4+ROW()-4&lt;EDATE(Settings!$B$4,12),Settings!$B$4+ROW()-4,""))</f>
        <v/>
      </c>
      <c r="B323" s="9" t="str">
        <f t="shared" si="16"/>
        <v/>
      </c>
      <c r="C323" s="10" t="str">
        <f>IF(A323="","",IF(DAY(A323)&gt;=Settings!$B$5,DATE(YEAR(A323),MONTH(A323),Settings!$B$5),DATE(YEAR(EDATE(A323,-1)),MONTH(EDATE(A323,-1)),Settings!$B$5)))</f>
        <v/>
      </c>
      <c r="D323" s="8"/>
      <c r="E323" s="10" t="str">
        <f t="shared" si="17"/>
        <v/>
      </c>
      <c r="F323" s="10" t="str">
        <f>IF(A323="","",K322+Settings!$B$8)</f>
        <v/>
      </c>
      <c r="G323" s="11" t="str">
        <f t="shared" si="18"/>
        <v/>
      </c>
      <c r="H323" s="12" t="str">
        <f>IF(G323="","",G323/Settings!$B$8)</f>
        <v/>
      </c>
      <c r="I323" s="38" t="str">
        <f>IF(H323="","",H323*Settings!$B$11)</f>
        <v/>
      </c>
      <c r="J323" s="40" t="str">
        <f>IF(E323="","",IF(E323="W","Weekly Reset",IF(H323&gt;=1,"Very High Benefit; High Unused-Allowance Risk",IF(H323&gt;Settings!$B$17,"Highly Beneficial; Allowance May Be Underused",IF(H323&gt;=Settings!$B$17,"Highly Beneficial",IF(H323&gt;=0.4,"Moderate",IF(H323&gt;0,"Low Benefit","No Advance Benefit")))))))</f>
        <v/>
      </c>
      <c r="K323" s="10" t="str">
        <f t="shared" si="19"/>
        <v/>
      </c>
    </row>
    <row r="324" spans="1:11" ht="14.25" customHeight="1">
      <c r="A324" s="10" t="str">
        <f>IF(Settings!$B$4="","",IF(Settings!$B$4+ROW()-4&lt;EDATE(Settings!$B$4,12),Settings!$B$4+ROW()-4,""))</f>
        <v/>
      </c>
      <c r="B324" s="9" t="str">
        <f t="shared" ref="B324:B369" si="20">IF(A324="","",CHOOSE(WEEKDAY(A324,2),"Mon","Tue","Wed","Thu","Fri","Sat","Sun"))</f>
        <v/>
      </c>
      <c r="C324" s="10" t="str">
        <f>IF(A324="","",IF(DAY(A324)&gt;=Settings!$B$5,DATE(YEAR(A324),MONTH(A324),Settings!$B$5),DATE(YEAR(EDATE(A324,-1)),MONTH(EDATE(A324,-1)),Settings!$B$5)))</f>
        <v/>
      </c>
      <c r="D324" s="8"/>
      <c r="E324" s="10" t="str">
        <f t="shared" ref="E324:E369" si="21">IF(A324="","",IF(D324&lt;&gt;"",D324,IF(A324=F324,"W","")))</f>
        <v/>
      </c>
      <c r="F324" s="10" t="str">
        <f>IF(A324="","",K323+Settings!$B$8)</f>
        <v/>
      </c>
      <c r="G324" s="11" t="str">
        <f t="shared" ref="G324:G369" si="22">IF(OR(A324="",D324=""),"",MAX(0,F324-A324))</f>
        <v/>
      </c>
      <c r="H324" s="12" t="str">
        <f>IF(G324="","",G324/Settings!$B$8)</f>
        <v/>
      </c>
      <c r="I324" s="38" t="str">
        <f>IF(H324="","",H324*Settings!$B$11)</f>
        <v/>
      </c>
      <c r="J324" s="40" t="str">
        <f>IF(E324="","",IF(E324="W","Weekly Reset",IF(H324&gt;=1,"Very High Benefit; High Unused-Allowance Risk",IF(H324&gt;Settings!$B$17,"Highly Beneficial; Allowance May Be Underused",IF(H324&gt;=Settings!$B$17,"Highly Beneficial",IF(H324&gt;=0.4,"Moderate",IF(H324&gt;0,"Low Benefit","No Advance Benefit")))))))</f>
        <v/>
      </c>
      <c r="K324" s="10" t="str">
        <f t="shared" si="19"/>
        <v/>
      </c>
    </row>
    <row r="325" spans="1:11" ht="14.25" customHeight="1">
      <c r="A325" s="10" t="str">
        <f>IF(Settings!$B$4="","",IF(Settings!$B$4+ROW()-4&lt;EDATE(Settings!$B$4,12),Settings!$B$4+ROW()-4,""))</f>
        <v/>
      </c>
      <c r="B325" s="9" t="str">
        <f t="shared" si="20"/>
        <v/>
      </c>
      <c r="C325" s="10" t="str">
        <f>IF(A325="","",IF(DAY(A325)&gt;=Settings!$B$5,DATE(YEAR(A325),MONTH(A325),Settings!$B$5),DATE(YEAR(EDATE(A325,-1)),MONTH(EDATE(A325,-1)),Settings!$B$5)))</f>
        <v/>
      </c>
      <c r="D325" s="8"/>
      <c r="E325" s="10" t="str">
        <f t="shared" si="21"/>
        <v/>
      </c>
      <c r="F325" s="10" t="str">
        <f>IF(A325="","",K324+Settings!$B$8)</f>
        <v/>
      </c>
      <c r="G325" s="11" t="str">
        <f t="shared" si="22"/>
        <v/>
      </c>
      <c r="H325" s="12" t="str">
        <f>IF(G325="","",G325/Settings!$B$8)</f>
        <v/>
      </c>
      <c r="I325" s="38" t="str">
        <f>IF(H325="","",H325*Settings!$B$11)</f>
        <v/>
      </c>
      <c r="J325" s="40" t="str">
        <f>IF(E325="","",IF(E325="W","Weekly Reset",IF(H325&gt;=1,"Very High Benefit; High Unused-Allowance Risk",IF(H325&gt;Settings!$B$17,"Highly Beneficial; Allowance May Be Underused",IF(H325&gt;=Settings!$B$17,"Highly Beneficial",IF(H325&gt;=0.4,"Moderate",IF(H325&gt;0,"Low Benefit","No Advance Benefit")))))))</f>
        <v/>
      </c>
      <c r="K325" s="10" t="str">
        <f t="shared" ref="K325:K369" si="23">IF(A325="","",IF(D325&lt;&gt;"",A325,IF(A325=F325,A325,K324)))</f>
        <v/>
      </c>
    </row>
    <row r="326" spans="1:11" ht="14.25" customHeight="1">
      <c r="A326" s="10" t="str">
        <f>IF(Settings!$B$4="","",IF(Settings!$B$4+ROW()-4&lt;EDATE(Settings!$B$4,12),Settings!$B$4+ROW()-4,""))</f>
        <v/>
      </c>
      <c r="B326" s="9" t="str">
        <f t="shared" si="20"/>
        <v/>
      </c>
      <c r="C326" s="10" t="str">
        <f>IF(A326="","",IF(DAY(A326)&gt;=Settings!$B$5,DATE(YEAR(A326),MONTH(A326),Settings!$B$5),DATE(YEAR(EDATE(A326,-1)),MONTH(EDATE(A326,-1)),Settings!$B$5)))</f>
        <v/>
      </c>
      <c r="D326" s="8"/>
      <c r="E326" s="10" t="str">
        <f t="shared" si="21"/>
        <v/>
      </c>
      <c r="F326" s="10" t="str">
        <f>IF(A326="","",K325+Settings!$B$8)</f>
        <v/>
      </c>
      <c r="G326" s="11" t="str">
        <f t="shared" si="22"/>
        <v/>
      </c>
      <c r="H326" s="12" t="str">
        <f>IF(G326="","",G326/Settings!$B$8)</f>
        <v/>
      </c>
      <c r="I326" s="38" t="str">
        <f>IF(H326="","",H326*Settings!$B$11)</f>
        <v/>
      </c>
      <c r="J326" s="40" t="str">
        <f>IF(E326="","",IF(E326="W","Weekly Reset",IF(H326&gt;=1,"Very High Benefit; High Unused-Allowance Risk",IF(H326&gt;Settings!$B$17,"Highly Beneficial; Allowance May Be Underused",IF(H326&gt;=Settings!$B$17,"Highly Beneficial",IF(H326&gt;=0.4,"Moderate",IF(H326&gt;0,"Low Benefit","No Advance Benefit")))))))</f>
        <v/>
      </c>
      <c r="K326" s="10" t="str">
        <f t="shared" si="23"/>
        <v/>
      </c>
    </row>
    <row r="327" spans="1:11" ht="14.25" customHeight="1">
      <c r="A327" s="10" t="str">
        <f>IF(Settings!$B$4="","",IF(Settings!$B$4+ROW()-4&lt;EDATE(Settings!$B$4,12),Settings!$B$4+ROW()-4,""))</f>
        <v/>
      </c>
      <c r="B327" s="9" t="str">
        <f t="shared" si="20"/>
        <v/>
      </c>
      <c r="C327" s="10" t="str">
        <f>IF(A327="","",IF(DAY(A327)&gt;=Settings!$B$5,DATE(YEAR(A327),MONTH(A327),Settings!$B$5),DATE(YEAR(EDATE(A327,-1)),MONTH(EDATE(A327,-1)),Settings!$B$5)))</f>
        <v/>
      </c>
      <c r="D327" s="8"/>
      <c r="E327" s="10" t="str">
        <f t="shared" si="21"/>
        <v/>
      </c>
      <c r="F327" s="10" t="str">
        <f>IF(A327="","",K326+Settings!$B$8)</f>
        <v/>
      </c>
      <c r="G327" s="11" t="str">
        <f t="shared" si="22"/>
        <v/>
      </c>
      <c r="H327" s="12" t="str">
        <f>IF(G327="","",G327/Settings!$B$8)</f>
        <v/>
      </c>
      <c r="I327" s="38" t="str">
        <f>IF(H327="","",H327*Settings!$B$11)</f>
        <v/>
      </c>
      <c r="J327" s="40" t="str">
        <f>IF(E327="","",IF(E327="W","Weekly Reset",IF(H327&gt;=1,"Very High Benefit; High Unused-Allowance Risk",IF(H327&gt;Settings!$B$17,"Highly Beneficial; Allowance May Be Underused",IF(H327&gt;=Settings!$B$17,"Highly Beneficial",IF(H327&gt;=0.4,"Moderate",IF(H327&gt;0,"Low Benefit","No Advance Benefit")))))))</f>
        <v/>
      </c>
      <c r="K327" s="10" t="str">
        <f t="shared" si="23"/>
        <v/>
      </c>
    </row>
    <row r="328" spans="1:11" ht="14.25" customHeight="1">
      <c r="A328" s="10" t="str">
        <f>IF(Settings!$B$4="","",IF(Settings!$B$4+ROW()-4&lt;EDATE(Settings!$B$4,12),Settings!$B$4+ROW()-4,""))</f>
        <v/>
      </c>
      <c r="B328" s="9" t="str">
        <f t="shared" si="20"/>
        <v/>
      </c>
      <c r="C328" s="10" t="str">
        <f>IF(A328="","",IF(DAY(A328)&gt;=Settings!$B$5,DATE(YEAR(A328),MONTH(A328),Settings!$B$5),DATE(YEAR(EDATE(A328,-1)),MONTH(EDATE(A328,-1)),Settings!$B$5)))</f>
        <v/>
      </c>
      <c r="D328" s="8"/>
      <c r="E328" s="10" t="str">
        <f t="shared" si="21"/>
        <v/>
      </c>
      <c r="F328" s="10" t="str">
        <f>IF(A328="","",K327+Settings!$B$8)</f>
        <v/>
      </c>
      <c r="G328" s="11" t="str">
        <f t="shared" si="22"/>
        <v/>
      </c>
      <c r="H328" s="12" t="str">
        <f>IF(G328="","",G328/Settings!$B$8)</f>
        <v/>
      </c>
      <c r="I328" s="38" t="str">
        <f>IF(H328="","",H328*Settings!$B$11)</f>
        <v/>
      </c>
      <c r="J328" s="40" t="str">
        <f>IF(E328="","",IF(E328="W","Weekly Reset",IF(H328&gt;=1,"Very High Benefit; High Unused-Allowance Risk",IF(H328&gt;Settings!$B$17,"Highly Beneficial; Allowance May Be Underused",IF(H328&gt;=Settings!$B$17,"Highly Beneficial",IF(H328&gt;=0.4,"Moderate",IF(H328&gt;0,"Low Benefit","No Advance Benefit")))))))</f>
        <v/>
      </c>
      <c r="K328" s="10" t="str">
        <f t="shared" si="23"/>
        <v/>
      </c>
    </row>
    <row r="329" spans="1:11" ht="14.25" customHeight="1">
      <c r="A329" s="10" t="str">
        <f>IF(Settings!$B$4="","",IF(Settings!$B$4+ROW()-4&lt;EDATE(Settings!$B$4,12),Settings!$B$4+ROW()-4,""))</f>
        <v/>
      </c>
      <c r="B329" s="9" t="str">
        <f t="shared" si="20"/>
        <v/>
      </c>
      <c r="C329" s="10" t="str">
        <f>IF(A329="","",IF(DAY(A329)&gt;=Settings!$B$5,DATE(YEAR(A329),MONTH(A329),Settings!$B$5),DATE(YEAR(EDATE(A329,-1)),MONTH(EDATE(A329,-1)),Settings!$B$5)))</f>
        <v/>
      </c>
      <c r="D329" s="8"/>
      <c r="E329" s="10" t="str">
        <f t="shared" si="21"/>
        <v/>
      </c>
      <c r="F329" s="10" t="str">
        <f>IF(A329="","",K328+Settings!$B$8)</f>
        <v/>
      </c>
      <c r="G329" s="11" t="str">
        <f t="shared" si="22"/>
        <v/>
      </c>
      <c r="H329" s="12" t="str">
        <f>IF(G329="","",G329/Settings!$B$8)</f>
        <v/>
      </c>
      <c r="I329" s="38" t="str">
        <f>IF(H329="","",H329*Settings!$B$11)</f>
        <v/>
      </c>
      <c r="J329" s="40" t="str">
        <f>IF(E329="","",IF(E329="W","Weekly Reset",IF(H329&gt;=1,"Very High Benefit; High Unused-Allowance Risk",IF(H329&gt;Settings!$B$17,"Highly Beneficial; Allowance May Be Underused",IF(H329&gt;=Settings!$B$17,"Highly Beneficial",IF(H329&gt;=0.4,"Moderate",IF(H329&gt;0,"Low Benefit","No Advance Benefit")))))))</f>
        <v/>
      </c>
      <c r="K329" s="10" t="str">
        <f t="shared" si="23"/>
        <v/>
      </c>
    </row>
    <row r="330" spans="1:11" ht="14.25" customHeight="1">
      <c r="A330" s="10" t="str">
        <f>IF(Settings!$B$4="","",IF(Settings!$B$4+ROW()-4&lt;EDATE(Settings!$B$4,12),Settings!$B$4+ROW()-4,""))</f>
        <v/>
      </c>
      <c r="B330" s="9" t="str">
        <f t="shared" si="20"/>
        <v/>
      </c>
      <c r="C330" s="10" t="str">
        <f>IF(A330="","",IF(DAY(A330)&gt;=Settings!$B$5,DATE(YEAR(A330),MONTH(A330),Settings!$B$5),DATE(YEAR(EDATE(A330,-1)),MONTH(EDATE(A330,-1)),Settings!$B$5)))</f>
        <v/>
      </c>
      <c r="D330" s="8"/>
      <c r="E330" s="10" t="str">
        <f t="shared" si="21"/>
        <v/>
      </c>
      <c r="F330" s="10" t="str">
        <f>IF(A330="","",K329+Settings!$B$8)</f>
        <v/>
      </c>
      <c r="G330" s="11" t="str">
        <f t="shared" si="22"/>
        <v/>
      </c>
      <c r="H330" s="12" t="str">
        <f>IF(G330="","",G330/Settings!$B$8)</f>
        <v/>
      </c>
      <c r="I330" s="38" t="str">
        <f>IF(H330="","",H330*Settings!$B$11)</f>
        <v/>
      </c>
      <c r="J330" s="40" t="str">
        <f>IF(E330="","",IF(E330="W","Weekly Reset",IF(H330&gt;=1,"Very High Benefit; High Unused-Allowance Risk",IF(H330&gt;Settings!$B$17,"Highly Beneficial; Allowance May Be Underused",IF(H330&gt;=Settings!$B$17,"Highly Beneficial",IF(H330&gt;=0.4,"Moderate",IF(H330&gt;0,"Low Benefit","No Advance Benefit")))))))</f>
        <v/>
      </c>
      <c r="K330" s="10" t="str">
        <f t="shared" si="23"/>
        <v/>
      </c>
    </row>
    <row r="331" spans="1:11" ht="14.25" customHeight="1">
      <c r="A331" s="10" t="str">
        <f>IF(Settings!$B$4="","",IF(Settings!$B$4+ROW()-4&lt;EDATE(Settings!$B$4,12),Settings!$B$4+ROW()-4,""))</f>
        <v/>
      </c>
      <c r="B331" s="9" t="str">
        <f t="shared" si="20"/>
        <v/>
      </c>
      <c r="C331" s="10" t="str">
        <f>IF(A331="","",IF(DAY(A331)&gt;=Settings!$B$5,DATE(YEAR(A331),MONTH(A331),Settings!$B$5),DATE(YEAR(EDATE(A331,-1)),MONTH(EDATE(A331,-1)),Settings!$B$5)))</f>
        <v/>
      </c>
      <c r="D331" s="8"/>
      <c r="E331" s="10" t="str">
        <f t="shared" si="21"/>
        <v/>
      </c>
      <c r="F331" s="10" t="str">
        <f>IF(A331="","",K330+Settings!$B$8)</f>
        <v/>
      </c>
      <c r="G331" s="11" t="str">
        <f t="shared" si="22"/>
        <v/>
      </c>
      <c r="H331" s="12" t="str">
        <f>IF(G331="","",G331/Settings!$B$8)</f>
        <v/>
      </c>
      <c r="I331" s="38" t="str">
        <f>IF(H331="","",H331*Settings!$B$11)</f>
        <v/>
      </c>
      <c r="J331" s="40" t="str">
        <f>IF(E331="","",IF(E331="W","Weekly Reset",IF(H331&gt;=1,"Very High Benefit; High Unused-Allowance Risk",IF(H331&gt;Settings!$B$17,"Highly Beneficial; Allowance May Be Underused",IF(H331&gt;=Settings!$B$17,"Highly Beneficial",IF(H331&gt;=0.4,"Moderate",IF(H331&gt;0,"Low Benefit","No Advance Benefit")))))))</f>
        <v/>
      </c>
      <c r="K331" s="10" t="str">
        <f t="shared" si="23"/>
        <v/>
      </c>
    </row>
    <row r="332" spans="1:11" ht="14.25" customHeight="1">
      <c r="A332" s="10" t="str">
        <f>IF(Settings!$B$4="","",IF(Settings!$B$4+ROW()-4&lt;EDATE(Settings!$B$4,12),Settings!$B$4+ROW()-4,""))</f>
        <v/>
      </c>
      <c r="B332" s="9" t="str">
        <f t="shared" si="20"/>
        <v/>
      </c>
      <c r="C332" s="10" t="str">
        <f>IF(A332="","",IF(DAY(A332)&gt;=Settings!$B$5,DATE(YEAR(A332),MONTH(A332),Settings!$B$5),DATE(YEAR(EDATE(A332,-1)),MONTH(EDATE(A332,-1)),Settings!$B$5)))</f>
        <v/>
      </c>
      <c r="D332" s="8"/>
      <c r="E332" s="10" t="str">
        <f t="shared" si="21"/>
        <v/>
      </c>
      <c r="F332" s="10" t="str">
        <f>IF(A332="","",K331+Settings!$B$8)</f>
        <v/>
      </c>
      <c r="G332" s="11" t="str">
        <f t="shared" si="22"/>
        <v/>
      </c>
      <c r="H332" s="12" t="str">
        <f>IF(G332="","",G332/Settings!$B$8)</f>
        <v/>
      </c>
      <c r="I332" s="38" t="str">
        <f>IF(H332="","",H332*Settings!$B$11)</f>
        <v/>
      </c>
      <c r="J332" s="40" t="str">
        <f>IF(E332="","",IF(E332="W","Weekly Reset",IF(H332&gt;=1,"Very High Benefit; High Unused-Allowance Risk",IF(H332&gt;Settings!$B$17,"Highly Beneficial; Allowance May Be Underused",IF(H332&gt;=Settings!$B$17,"Highly Beneficial",IF(H332&gt;=0.4,"Moderate",IF(H332&gt;0,"Low Benefit","No Advance Benefit")))))))</f>
        <v/>
      </c>
      <c r="K332" s="10" t="str">
        <f t="shared" si="23"/>
        <v/>
      </c>
    </row>
    <row r="333" spans="1:11" ht="14.25" customHeight="1">
      <c r="A333" s="10" t="str">
        <f>IF(Settings!$B$4="","",IF(Settings!$B$4+ROW()-4&lt;EDATE(Settings!$B$4,12),Settings!$B$4+ROW()-4,""))</f>
        <v/>
      </c>
      <c r="B333" s="9" t="str">
        <f t="shared" si="20"/>
        <v/>
      </c>
      <c r="C333" s="10" t="str">
        <f>IF(A333="","",IF(DAY(A333)&gt;=Settings!$B$5,DATE(YEAR(A333),MONTH(A333),Settings!$B$5),DATE(YEAR(EDATE(A333,-1)),MONTH(EDATE(A333,-1)),Settings!$B$5)))</f>
        <v/>
      </c>
      <c r="D333" s="8"/>
      <c r="E333" s="10" t="str">
        <f t="shared" si="21"/>
        <v/>
      </c>
      <c r="F333" s="10" t="str">
        <f>IF(A333="","",K332+Settings!$B$8)</f>
        <v/>
      </c>
      <c r="G333" s="11" t="str">
        <f t="shared" si="22"/>
        <v/>
      </c>
      <c r="H333" s="12" t="str">
        <f>IF(G333="","",G333/Settings!$B$8)</f>
        <v/>
      </c>
      <c r="I333" s="38" t="str">
        <f>IF(H333="","",H333*Settings!$B$11)</f>
        <v/>
      </c>
      <c r="J333" s="40" t="str">
        <f>IF(E333="","",IF(E333="W","Weekly Reset",IF(H333&gt;=1,"Very High Benefit; High Unused-Allowance Risk",IF(H333&gt;Settings!$B$17,"Highly Beneficial; Allowance May Be Underused",IF(H333&gt;=Settings!$B$17,"Highly Beneficial",IF(H333&gt;=0.4,"Moderate",IF(H333&gt;0,"Low Benefit","No Advance Benefit")))))))</f>
        <v/>
      </c>
      <c r="K333" s="10" t="str">
        <f t="shared" si="23"/>
        <v/>
      </c>
    </row>
    <row r="334" spans="1:11" ht="14.25" customHeight="1">
      <c r="A334" s="10" t="str">
        <f>IF(Settings!$B$4="","",IF(Settings!$B$4+ROW()-4&lt;EDATE(Settings!$B$4,12),Settings!$B$4+ROW()-4,""))</f>
        <v/>
      </c>
      <c r="B334" s="9" t="str">
        <f t="shared" si="20"/>
        <v/>
      </c>
      <c r="C334" s="10" t="str">
        <f>IF(A334="","",IF(DAY(A334)&gt;=Settings!$B$5,DATE(YEAR(A334),MONTH(A334),Settings!$B$5),DATE(YEAR(EDATE(A334,-1)),MONTH(EDATE(A334,-1)),Settings!$B$5)))</f>
        <v/>
      </c>
      <c r="D334" s="8"/>
      <c r="E334" s="10" t="str">
        <f t="shared" si="21"/>
        <v/>
      </c>
      <c r="F334" s="10" t="str">
        <f>IF(A334="","",K333+Settings!$B$8)</f>
        <v/>
      </c>
      <c r="G334" s="11" t="str">
        <f t="shared" si="22"/>
        <v/>
      </c>
      <c r="H334" s="12" t="str">
        <f>IF(G334="","",G334/Settings!$B$8)</f>
        <v/>
      </c>
      <c r="I334" s="38" t="str">
        <f>IF(H334="","",H334*Settings!$B$11)</f>
        <v/>
      </c>
      <c r="J334" s="40" t="str">
        <f>IF(E334="","",IF(E334="W","Weekly Reset",IF(H334&gt;=1,"Very High Benefit; High Unused-Allowance Risk",IF(H334&gt;Settings!$B$17,"Highly Beneficial; Allowance May Be Underused",IF(H334&gt;=Settings!$B$17,"Highly Beneficial",IF(H334&gt;=0.4,"Moderate",IF(H334&gt;0,"Low Benefit","No Advance Benefit")))))))</f>
        <v/>
      </c>
      <c r="K334" s="10" t="str">
        <f t="shared" si="23"/>
        <v/>
      </c>
    </row>
    <row r="335" spans="1:11" ht="14.25" customHeight="1">
      <c r="A335" s="10" t="str">
        <f>IF(Settings!$B$4="","",IF(Settings!$B$4+ROW()-4&lt;EDATE(Settings!$B$4,12),Settings!$B$4+ROW()-4,""))</f>
        <v/>
      </c>
      <c r="B335" s="9" t="str">
        <f t="shared" si="20"/>
        <v/>
      </c>
      <c r="C335" s="10" t="str">
        <f>IF(A335="","",IF(DAY(A335)&gt;=Settings!$B$5,DATE(YEAR(A335),MONTH(A335),Settings!$B$5),DATE(YEAR(EDATE(A335,-1)),MONTH(EDATE(A335,-1)),Settings!$B$5)))</f>
        <v/>
      </c>
      <c r="D335" s="8"/>
      <c r="E335" s="10" t="str">
        <f t="shared" si="21"/>
        <v/>
      </c>
      <c r="F335" s="10" t="str">
        <f>IF(A335="","",K334+Settings!$B$8)</f>
        <v/>
      </c>
      <c r="G335" s="11" t="str">
        <f t="shared" si="22"/>
        <v/>
      </c>
      <c r="H335" s="12" t="str">
        <f>IF(G335="","",G335/Settings!$B$8)</f>
        <v/>
      </c>
      <c r="I335" s="38" t="str">
        <f>IF(H335="","",H335*Settings!$B$11)</f>
        <v/>
      </c>
      <c r="J335" s="40" t="str">
        <f>IF(E335="","",IF(E335="W","Weekly Reset",IF(H335&gt;=1,"Very High Benefit; High Unused-Allowance Risk",IF(H335&gt;Settings!$B$17,"Highly Beneficial; Allowance May Be Underused",IF(H335&gt;=Settings!$B$17,"Highly Beneficial",IF(H335&gt;=0.4,"Moderate",IF(H335&gt;0,"Low Benefit","No Advance Benefit")))))))</f>
        <v/>
      </c>
      <c r="K335" s="10" t="str">
        <f t="shared" si="23"/>
        <v/>
      </c>
    </row>
    <row r="336" spans="1:11" ht="14.25" customHeight="1">
      <c r="A336" s="10" t="str">
        <f>IF(Settings!$B$4="","",IF(Settings!$B$4+ROW()-4&lt;EDATE(Settings!$B$4,12),Settings!$B$4+ROW()-4,""))</f>
        <v/>
      </c>
      <c r="B336" s="9" t="str">
        <f t="shared" si="20"/>
        <v/>
      </c>
      <c r="C336" s="10" t="str">
        <f>IF(A336="","",IF(DAY(A336)&gt;=Settings!$B$5,DATE(YEAR(A336),MONTH(A336),Settings!$B$5),DATE(YEAR(EDATE(A336,-1)),MONTH(EDATE(A336,-1)),Settings!$B$5)))</f>
        <v/>
      </c>
      <c r="D336" s="8"/>
      <c r="E336" s="10" t="str">
        <f t="shared" si="21"/>
        <v/>
      </c>
      <c r="F336" s="10" t="str">
        <f>IF(A336="","",K335+Settings!$B$8)</f>
        <v/>
      </c>
      <c r="G336" s="11" t="str">
        <f t="shared" si="22"/>
        <v/>
      </c>
      <c r="H336" s="12" t="str">
        <f>IF(G336="","",G336/Settings!$B$8)</f>
        <v/>
      </c>
      <c r="I336" s="38" t="str">
        <f>IF(H336="","",H336*Settings!$B$11)</f>
        <v/>
      </c>
      <c r="J336" s="40" t="str">
        <f>IF(E336="","",IF(E336="W","Weekly Reset",IF(H336&gt;=1,"Very High Benefit; High Unused-Allowance Risk",IF(H336&gt;Settings!$B$17,"Highly Beneficial; Allowance May Be Underused",IF(H336&gt;=Settings!$B$17,"Highly Beneficial",IF(H336&gt;=0.4,"Moderate",IF(H336&gt;0,"Low Benefit","No Advance Benefit")))))))</f>
        <v/>
      </c>
      <c r="K336" s="10" t="str">
        <f t="shared" si="23"/>
        <v/>
      </c>
    </row>
    <row r="337" spans="1:11" ht="14.25" customHeight="1">
      <c r="A337" s="10" t="str">
        <f>IF(Settings!$B$4="","",IF(Settings!$B$4+ROW()-4&lt;EDATE(Settings!$B$4,12),Settings!$B$4+ROW()-4,""))</f>
        <v/>
      </c>
      <c r="B337" s="9" t="str">
        <f t="shared" si="20"/>
        <v/>
      </c>
      <c r="C337" s="10" t="str">
        <f>IF(A337="","",IF(DAY(A337)&gt;=Settings!$B$5,DATE(YEAR(A337),MONTH(A337),Settings!$B$5),DATE(YEAR(EDATE(A337,-1)),MONTH(EDATE(A337,-1)),Settings!$B$5)))</f>
        <v/>
      </c>
      <c r="D337" s="8"/>
      <c r="E337" s="10" t="str">
        <f t="shared" si="21"/>
        <v/>
      </c>
      <c r="F337" s="10" t="str">
        <f>IF(A337="","",K336+Settings!$B$8)</f>
        <v/>
      </c>
      <c r="G337" s="11" t="str">
        <f t="shared" si="22"/>
        <v/>
      </c>
      <c r="H337" s="12" t="str">
        <f>IF(G337="","",G337/Settings!$B$8)</f>
        <v/>
      </c>
      <c r="I337" s="38" t="str">
        <f>IF(H337="","",H337*Settings!$B$11)</f>
        <v/>
      </c>
      <c r="J337" s="40" t="str">
        <f>IF(E337="","",IF(E337="W","Weekly Reset",IF(H337&gt;=1,"Very High Benefit; High Unused-Allowance Risk",IF(H337&gt;Settings!$B$17,"Highly Beneficial; Allowance May Be Underused",IF(H337&gt;=Settings!$B$17,"Highly Beneficial",IF(H337&gt;=0.4,"Moderate",IF(H337&gt;0,"Low Benefit","No Advance Benefit")))))))</f>
        <v/>
      </c>
      <c r="K337" s="10" t="str">
        <f t="shared" si="23"/>
        <v/>
      </c>
    </row>
    <row r="338" spans="1:11" ht="14.25" customHeight="1">
      <c r="A338" s="10" t="str">
        <f>IF(Settings!$B$4="","",IF(Settings!$B$4+ROW()-4&lt;EDATE(Settings!$B$4,12),Settings!$B$4+ROW()-4,""))</f>
        <v/>
      </c>
      <c r="B338" s="9" t="str">
        <f t="shared" si="20"/>
        <v/>
      </c>
      <c r="C338" s="10" t="str">
        <f>IF(A338="","",IF(DAY(A338)&gt;=Settings!$B$5,DATE(YEAR(A338),MONTH(A338),Settings!$B$5),DATE(YEAR(EDATE(A338,-1)),MONTH(EDATE(A338,-1)),Settings!$B$5)))</f>
        <v/>
      </c>
      <c r="D338" s="8"/>
      <c r="E338" s="10" t="str">
        <f t="shared" si="21"/>
        <v/>
      </c>
      <c r="F338" s="10" t="str">
        <f>IF(A338="","",K337+Settings!$B$8)</f>
        <v/>
      </c>
      <c r="G338" s="11" t="str">
        <f t="shared" si="22"/>
        <v/>
      </c>
      <c r="H338" s="12" t="str">
        <f>IF(G338="","",G338/Settings!$B$8)</f>
        <v/>
      </c>
      <c r="I338" s="38" t="str">
        <f>IF(H338="","",H338*Settings!$B$11)</f>
        <v/>
      </c>
      <c r="J338" s="40" t="str">
        <f>IF(E338="","",IF(E338="W","Weekly Reset",IF(H338&gt;=1,"Very High Benefit; High Unused-Allowance Risk",IF(H338&gt;Settings!$B$17,"Highly Beneficial; Allowance May Be Underused",IF(H338&gt;=Settings!$B$17,"Highly Beneficial",IF(H338&gt;=0.4,"Moderate",IF(H338&gt;0,"Low Benefit","No Advance Benefit")))))))</f>
        <v/>
      </c>
      <c r="K338" s="10" t="str">
        <f t="shared" si="23"/>
        <v/>
      </c>
    </row>
    <row r="339" spans="1:11" ht="14.25" customHeight="1">
      <c r="A339" s="10" t="str">
        <f>IF(Settings!$B$4="","",IF(Settings!$B$4+ROW()-4&lt;EDATE(Settings!$B$4,12),Settings!$B$4+ROW()-4,""))</f>
        <v/>
      </c>
      <c r="B339" s="9" t="str">
        <f t="shared" si="20"/>
        <v/>
      </c>
      <c r="C339" s="10" t="str">
        <f>IF(A339="","",IF(DAY(A339)&gt;=Settings!$B$5,DATE(YEAR(A339),MONTH(A339),Settings!$B$5),DATE(YEAR(EDATE(A339,-1)),MONTH(EDATE(A339,-1)),Settings!$B$5)))</f>
        <v/>
      </c>
      <c r="D339" s="8"/>
      <c r="E339" s="10" t="str">
        <f t="shared" si="21"/>
        <v/>
      </c>
      <c r="F339" s="10" t="str">
        <f>IF(A339="","",K338+Settings!$B$8)</f>
        <v/>
      </c>
      <c r="G339" s="11" t="str">
        <f t="shared" si="22"/>
        <v/>
      </c>
      <c r="H339" s="12" t="str">
        <f>IF(G339="","",G339/Settings!$B$8)</f>
        <v/>
      </c>
      <c r="I339" s="38" t="str">
        <f>IF(H339="","",H339*Settings!$B$11)</f>
        <v/>
      </c>
      <c r="J339" s="40" t="str">
        <f>IF(E339="","",IF(E339="W","Weekly Reset",IF(H339&gt;=1,"Very High Benefit; High Unused-Allowance Risk",IF(H339&gt;Settings!$B$17,"Highly Beneficial; Allowance May Be Underused",IF(H339&gt;=Settings!$B$17,"Highly Beneficial",IF(H339&gt;=0.4,"Moderate",IF(H339&gt;0,"Low Benefit","No Advance Benefit")))))))</f>
        <v/>
      </c>
      <c r="K339" s="10" t="str">
        <f t="shared" si="23"/>
        <v/>
      </c>
    </row>
    <row r="340" spans="1:11" ht="14.25" customHeight="1">
      <c r="A340" s="10" t="str">
        <f>IF(Settings!$B$4="","",IF(Settings!$B$4+ROW()-4&lt;EDATE(Settings!$B$4,12),Settings!$B$4+ROW()-4,""))</f>
        <v/>
      </c>
      <c r="B340" s="9" t="str">
        <f t="shared" si="20"/>
        <v/>
      </c>
      <c r="C340" s="10" t="str">
        <f>IF(A340="","",IF(DAY(A340)&gt;=Settings!$B$5,DATE(YEAR(A340),MONTH(A340),Settings!$B$5),DATE(YEAR(EDATE(A340,-1)),MONTH(EDATE(A340,-1)),Settings!$B$5)))</f>
        <v/>
      </c>
      <c r="D340" s="8"/>
      <c r="E340" s="10" t="str">
        <f t="shared" si="21"/>
        <v/>
      </c>
      <c r="F340" s="10" t="str">
        <f>IF(A340="","",K339+Settings!$B$8)</f>
        <v/>
      </c>
      <c r="G340" s="11" t="str">
        <f t="shared" si="22"/>
        <v/>
      </c>
      <c r="H340" s="12" t="str">
        <f>IF(G340="","",G340/Settings!$B$8)</f>
        <v/>
      </c>
      <c r="I340" s="38" t="str">
        <f>IF(H340="","",H340*Settings!$B$11)</f>
        <v/>
      </c>
      <c r="J340" s="40" t="str">
        <f>IF(E340="","",IF(E340="W","Weekly Reset",IF(H340&gt;=1,"Very High Benefit; High Unused-Allowance Risk",IF(H340&gt;Settings!$B$17,"Highly Beneficial; Allowance May Be Underused",IF(H340&gt;=Settings!$B$17,"Highly Beneficial",IF(H340&gt;=0.4,"Moderate",IF(H340&gt;0,"Low Benefit","No Advance Benefit")))))))</f>
        <v/>
      </c>
      <c r="K340" s="10" t="str">
        <f t="shared" si="23"/>
        <v/>
      </c>
    </row>
    <row r="341" spans="1:11" ht="14.25" customHeight="1">
      <c r="A341" s="10" t="str">
        <f>IF(Settings!$B$4="","",IF(Settings!$B$4+ROW()-4&lt;EDATE(Settings!$B$4,12),Settings!$B$4+ROW()-4,""))</f>
        <v/>
      </c>
      <c r="B341" s="9" t="str">
        <f t="shared" si="20"/>
        <v/>
      </c>
      <c r="C341" s="10" t="str">
        <f>IF(A341="","",IF(DAY(A341)&gt;=Settings!$B$5,DATE(YEAR(A341),MONTH(A341),Settings!$B$5),DATE(YEAR(EDATE(A341,-1)),MONTH(EDATE(A341,-1)),Settings!$B$5)))</f>
        <v/>
      </c>
      <c r="D341" s="8"/>
      <c r="E341" s="10" t="str">
        <f t="shared" si="21"/>
        <v/>
      </c>
      <c r="F341" s="10" t="str">
        <f>IF(A341="","",K340+Settings!$B$8)</f>
        <v/>
      </c>
      <c r="G341" s="11" t="str">
        <f t="shared" si="22"/>
        <v/>
      </c>
      <c r="H341" s="12" t="str">
        <f>IF(G341="","",G341/Settings!$B$8)</f>
        <v/>
      </c>
      <c r="I341" s="38" t="str">
        <f>IF(H341="","",H341*Settings!$B$11)</f>
        <v/>
      </c>
      <c r="J341" s="40" t="str">
        <f>IF(E341="","",IF(E341="W","Weekly Reset",IF(H341&gt;=1,"Very High Benefit; High Unused-Allowance Risk",IF(H341&gt;Settings!$B$17,"Highly Beneficial; Allowance May Be Underused",IF(H341&gt;=Settings!$B$17,"Highly Beneficial",IF(H341&gt;=0.4,"Moderate",IF(H341&gt;0,"Low Benefit","No Advance Benefit")))))))</f>
        <v/>
      </c>
      <c r="K341" s="10" t="str">
        <f t="shared" si="23"/>
        <v/>
      </c>
    </row>
    <row r="342" spans="1:11" ht="14.25" customHeight="1">
      <c r="A342" s="10" t="str">
        <f>IF(Settings!$B$4="","",IF(Settings!$B$4+ROW()-4&lt;EDATE(Settings!$B$4,12),Settings!$B$4+ROW()-4,""))</f>
        <v/>
      </c>
      <c r="B342" s="9" t="str">
        <f t="shared" si="20"/>
        <v/>
      </c>
      <c r="C342" s="10" t="str">
        <f>IF(A342="","",IF(DAY(A342)&gt;=Settings!$B$5,DATE(YEAR(A342),MONTH(A342),Settings!$B$5),DATE(YEAR(EDATE(A342,-1)),MONTH(EDATE(A342,-1)),Settings!$B$5)))</f>
        <v/>
      </c>
      <c r="D342" s="8"/>
      <c r="E342" s="10" t="str">
        <f t="shared" si="21"/>
        <v/>
      </c>
      <c r="F342" s="10" t="str">
        <f>IF(A342="","",K341+Settings!$B$8)</f>
        <v/>
      </c>
      <c r="G342" s="11" t="str">
        <f t="shared" si="22"/>
        <v/>
      </c>
      <c r="H342" s="12" t="str">
        <f>IF(G342="","",G342/Settings!$B$8)</f>
        <v/>
      </c>
      <c r="I342" s="38" t="str">
        <f>IF(H342="","",H342*Settings!$B$11)</f>
        <v/>
      </c>
      <c r="J342" s="40" t="str">
        <f>IF(E342="","",IF(E342="W","Weekly Reset",IF(H342&gt;=1,"Very High Benefit; High Unused-Allowance Risk",IF(H342&gt;Settings!$B$17,"Highly Beneficial; Allowance May Be Underused",IF(H342&gt;=Settings!$B$17,"Highly Beneficial",IF(H342&gt;=0.4,"Moderate",IF(H342&gt;0,"Low Benefit","No Advance Benefit")))))))</f>
        <v/>
      </c>
      <c r="K342" s="10" t="str">
        <f t="shared" si="23"/>
        <v/>
      </c>
    </row>
    <row r="343" spans="1:11" ht="14.25" customHeight="1">
      <c r="A343" s="10" t="str">
        <f>IF(Settings!$B$4="","",IF(Settings!$B$4+ROW()-4&lt;EDATE(Settings!$B$4,12),Settings!$B$4+ROW()-4,""))</f>
        <v/>
      </c>
      <c r="B343" s="9" t="str">
        <f t="shared" si="20"/>
        <v/>
      </c>
      <c r="C343" s="10" t="str">
        <f>IF(A343="","",IF(DAY(A343)&gt;=Settings!$B$5,DATE(YEAR(A343),MONTH(A343),Settings!$B$5),DATE(YEAR(EDATE(A343,-1)),MONTH(EDATE(A343,-1)),Settings!$B$5)))</f>
        <v/>
      </c>
      <c r="D343" s="8"/>
      <c r="E343" s="10" t="str">
        <f t="shared" si="21"/>
        <v/>
      </c>
      <c r="F343" s="10" t="str">
        <f>IF(A343="","",K342+Settings!$B$8)</f>
        <v/>
      </c>
      <c r="G343" s="11" t="str">
        <f t="shared" si="22"/>
        <v/>
      </c>
      <c r="H343" s="12" t="str">
        <f>IF(G343="","",G343/Settings!$B$8)</f>
        <v/>
      </c>
      <c r="I343" s="38" t="str">
        <f>IF(H343="","",H343*Settings!$B$11)</f>
        <v/>
      </c>
      <c r="J343" s="40" t="str">
        <f>IF(E343="","",IF(E343="W","Weekly Reset",IF(H343&gt;=1,"Very High Benefit; High Unused-Allowance Risk",IF(H343&gt;Settings!$B$17,"Highly Beneficial; Allowance May Be Underused",IF(H343&gt;=Settings!$B$17,"Highly Beneficial",IF(H343&gt;=0.4,"Moderate",IF(H343&gt;0,"Low Benefit","No Advance Benefit")))))))</f>
        <v/>
      </c>
      <c r="K343" s="10" t="str">
        <f t="shared" si="23"/>
        <v/>
      </c>
    </row>
    <row r="344" spans="1:11" ht="14.25" customHeight="1">
      <c r="A344" s="10" t="str">
        <f>IF(Settings!$B$4="","",IF(Settings!$B$4+ROW()-4&lt;EDATE(Settings!$B$4,12),Settings!$B$4+ROW()-4,""))</f>
        <v/>
      </c>
      <c r="B344" s="9" t="str">
        <f t="shared" si="20"/>
        <v/>
      </c>
      <c r="C344" s="10" t="str">
        <f>IF(A344="","",IF(DAY(A344)&gt;=Settings!$B$5,DATE(YEAR(A344),MONTH(A344),Settings!$B$5),DATE(YEAR(EDATE(A344,-1)),MONTH(EDATE(A344,-1)),Settings!$B$5)))</f>
        <v/>
      </c>
      <c r="D344" s="8"/>
      <c r="E344" s="10" t="str">
        <f t="shared" si="21"/>
        <v/>
      </c>
      <c r="F344" s="10" t="str">
        <f>IF(A344="","",K343+Settings!$B$8)</f>
        <v/>
      </c>
      <c r="G344" s="11" t="str">
        <f t="shared" si="22"/>
        <v/>
      </c>
      <c r="H344" s="12" t="str">
        <f>IF(G344="","",G344/Settings!$B$8)</f>
        <v/>
      </c>
      <c r="I344" s="38" t="str">
        <f>IF(H344="","",H344*Settings!$B$11)</f>
        <v/>
      </c>
      <c r="J344" s="40" t="str">
        <f>IF(E344="","",IF(E344="W","Weekly Reset",IF(H344&gt;=1,"Very High Benefit; High Unused-Allowance Risk",IF(H344&gt;Settings!$B$17,"Highly Beneficial; Allowance May Be Underused",IF(H344&gt;=Settings!$B$17,"Highly Beneficial",IF(H344&gt;=0.4,"Moderate",IF(H344&gt;0,"Low Benefit","No Advance Benefit")))))))</f>
        <v/>
      </c>
      <c r="K344" s="10" t="str">
        <f t="shared" si="23"/>
        <v/>
      </c>
    </row>
    <row r="345" spans="1:11" ht="14.25" customHeight="1">
      <c r="A345" s="10" t="str">
        <f>IF(Settings!$B$4="","",IF(Settings!$B$4+ROW()-4&lt;EDATE(Settings!$B$4,12),Settings!$B$4+ROW()-4,""))</f>
        <v/>
      </c>
      <c r="B345" s="9" t="str">
        <f t="shared" si="20"/>
        <v/>
      </c>
      <c r="C345" s="10" t="str">
        <f>IF(A345="","",IF(DAY(A345)&gt;=Settings!$B$5,DATE(YEAR(A345),MONTH(A345),Settings!$B$5),DATE(YEAR(EDATE(A345,-1)),MONTH(EDATE(A345,-1)),Settings!$B$5)))</f>
        <v/>
      </c>
      <c r="D345" s="8"/>
      <c r="E345" s="10" t="str">
        <f t="shared" si="21"/>
        <v/>
      </c>
      <c r="F345" s="10" t="str">
        <f>IF(A345="","",K344+Settings!$B$8)</f>
        <v/>
      </c>
      <c r="G345" s="11" t="str">
        <f t="shared" si="22"/>
        <v/>
      </c>
      <c r="H345" s="12" t="str">
        <f>IF(G345="","",G345/Settings!$B$8)</f>
        <v/>
      </c>
      <c r="I345" s="38" t="str">
        <f>IF(H345="","",H345*Settings!$B$11)</f>
        <v/>
      </c>
      <c r="J345" s="40" t="str">
        <f>IF(E345="","",IF(E345="W","Weekly Reset",IF(H345&gt;=1,"Very High Benefit; High Unused-Allowance Risk",IF(H345&gt;Settings!$B$17,"Highly Beneficial; Allowance May Be Underused",IF(H345&gt;=Settings!$B$17,"Highly Beneficial",IF(H345&gt;=0.4,"Moderate",IF(H345&gt;0,"Low Benefit","No Advance Benefit")))))))</f>
        <v/>
      </c>
      <c r="K345" s="10" t="str">
        <f t="shared" si="23"/>
        <v/>
      </c>
    </row>
    <row r="346" spans="1:11" ht="14.25" customHeight="1">
      <c r="A346" s="10" t="str">
        <f>IF(Settings!$B$4="","",IF(Settings!$B$4+ROW()-4&lt;EDATE(Settings!$B$4,12),Settings!$B$4+ROW()-4,""))</f>
        <v/>
      </c>
      <c r="B346" s="9" t="str">
        <f t="shared" si="20"/>
        <v/>
      </c>
      <c r="C346" s="10" t="str">
        <f>IF(A346="","",IF(DAY(A346)&gt;=Settings!$B$5,DATE(YEAR(A346),MONTH(A346),Settings!$B$5),DATE(YEAR(EDATE(A346,-1)),MONTH(EDATE(A346,-1)),Settings!$B$5)))</f>
        <v/>
      </c>
      <c r="D346" s="8"/>
      <c r="E346" s="10" t="str">
        <f t="shared" si="21"/>
        <v/>
      </c>
      <c r="F346" s="10" t="str">
        <f>IF(A346="","",K345+Settings!$B$8)</f>
        <v/>
      </c>
      <c r="G346" s="11" t="str">
        <f t="shared" si="22"/>
        <v/>
      </c>
      <c r="H346" s="12" t="str">
        <f>IF(G346="","",G346/Settings!$B$8)</f>
        <v/>
      </c>
      <c r="I346" s="38" t="str">
        <f>IF(H346="","",H346*Settings!$B$11)</f>
        <v/>
      </c>
      <c r="J346" s="40" t="str">
        <f>IF(E346="","",IF(E346="W","Weekly Reset",IF(H346&gt;=1,"Very High Benefit; High Unused-Allowance Risk",IF(H346&gt;Settings!$B$17,"Highly Beneficial; Allowance May Be Underused",IF(H346&gt;=Settings!$B$17,"Highly Beneficial",IF(H346&gt;=0.4,"Moderate",IF(H346&gt;0,"Low Benefit","No Advance Benefit")))))))</f>
        <v/>
      </c>
      <c r="K346" s="10" t="str">
        <f t="shared" si="23"/>
        <v/>
      </c>
    </row>
    <row r="347" spans="1:11" ht="14.25" customHeight="1">
      <c r="A347" s="10" t="str">
        <f>IF(Settings!$B$4="","",IF(Settings!$B$4+ROW()-4&lt;EDATE(Settings!$B$4,12),Settings!$B$4+ROW()-4,""))</f>
        <v/>
      </c>
      <c r="B347" s="9" t="str">
        <f t="shared" si="20"/>
        <v/>
      </c>
      <c r="C347" s="10" t="str">
        <f>IF(A347="","",IF(DAY(A347)&gt;=Settings!$B$5,DATE(YEAR(A347),MONTH(A347),Settings!$B$5),DATE(YEAR(EDATE(A347,-1)),MONTH(EDATE(A347,-1)),Settings!$B$5)))</f>
        <v/>
      </c>
      <c r="D347" s="8"/>
      <c r="E347" s="10" t="str">
        <f t="shared" si="21"/>
        <v/>
      </c>
      <c r="F347" s="10" t="str">
        <f>IF(A347="","",K346+Settings!$B$8)</f>
        <v/>
      </c>
      <c r="G347" s="11" t="str">
        <f t="shared" si="22"/>
        <v/>
      </c>
      <c r="H347" s="12" t="str">
        <f>IF(G347="","",G347/Settings!$B$8)</f>
        <v/>
      </c>
      <c r="I347" s="38" t="str">
        <f>IF(H347="","",H347*Settings!$B$11)</f>
        <v/>
      </c>
      <c r="J347" s="40" t="str">
        <f>IF(E347="","",IF(E347="W","Weekly Reset",IF(H347&gt;=1,"Very High Benefit; High Unused-Allowance Risk",IF(H347&gt;Settings!$B$17,"Highly Beneficial; Allowance May Be Underused",IF(H347&gt;=Settings!$B$17,"Highly Beneficial",IF(H347&gt;=0.4,"Moderate",IF(H347&gt;0,"Low Benefit","No Advance Benefit")))))))</f>
        <v/>
      </c>
      <c r="K347" s="10" t="str">
        <f t="shared" si="23"/>
        <v/>
      </c>
    </row>
    <row r="348" spans="1:11" ht="14.25" customHeight="1">
      <c r="A348" s="10" t="str">
        <f>IF(Settings!$B$4="","",IF(Settings!$B$4+ROW()-4&lt;EDATE(Settings!$B$4,12),Settings!$B$4+ROW()-4,""))</f>
        <v/>
      </c>
      <c r="B348" s="9" t="str">
        <f t="shared" si="20"/>
        <v/>
      </c>
      <c r="C348" s="10" t="str">
        <f>IF(A348="","",IF(DAY(A348)&gt;=Settings!$B$5,DATE(YEAR(A348),MONTH(A348),Settings!$B$5),DATE(YEAR(EDATE(A348,-1)),MONTH(EDATE(A348,-1)),Settings!$B$5)))</f>
        <v/>
      </c>
      <c r="D348" s="8"/>
      <c r="E348" s="10" t="str">
        <f t="shared" si="21"/>
        <v/>
      </c>
      <c r="F348" s="10" t="str">
        <f>IF(A348="","",K347+Settings!$B$8)</f>
        <v/>
      </c>
      <c r="G348" s="11" t="str">
        <f t="shared" si="22"/>
        <v/>
      </c>
      <c r="H348" s="12" t="str">
        <f>IF(G348="","",G348/Settings!$B$8)</f>
        <v/>
      </c>
      <c r="I348" s="38" t="str">
        <f>IF(H348="","",H348*Settings!$B$11)</f>
        <v/>
      </c>
      <c r="J348" s="40" t="str">
        <f>IF(E348="","",IF(E348="W","Weekly Reset",IF(H348&gt;=1,"Very High Benefit; High Unused-Allowance Risk",IF(H348&gt;Settings!$B$17,"Highly Beneficial; Allowance May Be Underused",IF(H348&gt;=Settings!$B$17,"Highly Beneficial",IF(H348&gt;=0.4,"Moderate",IF(H348&gt;0,"Low Benefit","No Advance Benefit")))))))</f>
        <v/>
      </c>
      <c r="K348" s="10" t="str">
        <f t="shared" si="23"/>
        <v/>
      </c>
    </row>
    <row r="349" spans="1:11" ht="14.25" customHeight="1">
      <c r="A349" s="10" t="str">
        <f>IF(Settings!$B$4="","",IF(Settings!$B$4+ROW()-4&lt;EDATE(Settings!$B$4,12),Settings!$B$4+ROW()-4,""))</f>
        <v/>
      </c>
      <c r="B349" s="9" t="str">
        <f t="shared" si="20"/>
        <v/>
      </c>
      <c r="C349" s="10" t="str">
        <f>IF(A349="","",IF(DAY(A349)&gt;=Settings!$B$5,DATE(YEAR(A349),MONTH(A349),Settings!$B$5),DATE(YEAR(EDATE(A349,-1)),MONTH(EDATE(A349,-1)),Settings!$B$5)))</f>
        <v/>
      </c>
      <c r="D349" s="8"/>
      <c r="E349" s="10" t="str">
        <f t="shared" si="21"/>
        <v/>
      </c>
      <c r="F349" s="10" t="str">
        <f>IF(A349="","",K348+Settings!$B$8)</f>
        <v/>
      </c>
      <c r="G349" s="11" t="str">
        <f t="shared" si="22"/>
        <v/>
      </c>
      <c r="H349" s="12" t="str">
        <f>IF(G349="","",G349/Settings!$B$8)</f>
        <v/>
      </c>
      <c r="I349" s="38" t="str">
        <f>IF(H349="","",H349*Settings!$B$11)</f>
        <v/>
      </c>
      <c r="J349" s="40" t="str">
        <f>IF(E349="","",IF(E349="W","Weekly Reset",IF(H349&gt;=1,"Very High Benefit; High Unused-Allowance Risk",IF(H349&gt;Settings!$B$17,"Highly Beneficial; Allowance May Be Underused",IF(H349&gt;=Settings!$B$17,"Highly Beneficial",IF(H349&gt;=0.4,"Moderate",IF(H349&gt;0,"Low Benefit","No Advance Benefit")))))))</f>
        <v/>
      </c>
      <c r="K349" s="10" t="str">
        <f t="shared" si="23"/>
        <v/>
      </c>
    </row>
    <row r="350" spans="1:11" ht="14.25" customHeight="1">
      <c r="A350" s="10" t="str">
        <f>IF(Settings!$B$4="","",IF(Settings!$B$4+ROW()-4&lt;EDATE(Settings!$B$4,12),Settings!$B$4+ROW()-4,""))</f>
        <v/>
      </c>
      <c r="B350" s="9" t="str">
        <f t="shared" si="20"/>
        <v/>
      </c>
      <c r="C350" s="10" t="str">
        <f>IF(A350="","",IF(DAY(A350)&gt;=Settings!$B$5,DATE(YEAR(A350),MONTH(A350),Settings!$B$5),DATE(YEAR(EDATE(A350,-1)),MONTH(EDATE(A350,-1)),Settings!$B$5)))</f>
        <v/>
      </c>
      <c r="D350" s="8"/>
      <c r="E350" s="10" t="str">
        <f t="shared" si="21"/>
        <v/>
      </c>
      <c r="F350" s="10" t="str">
        <f>IF(A350="","",K349+Settings!$B$8)</f>
        <v/>
      </c>
      <c r="G350" s="11" t="str">
        <f t="shared" si="22"/>
        <v/>
      </c>
      <c r="H350" s="12" t="str">
        <f>IF(G350="","",G350/Settings!$B$8)</f>
        <v/>
      </c>
      <c r="I350" s="38" t="str">
        <f>IF(H350="","",H350*Settings!$B$11)</f>
        <v/>
      </c>
      <c r="J350" s="40" t="str">
        <f>IF(E350="","",IF(E350="W","Weekly Reset",IF(H350&gt;=1,"Very High Benefit; High Unused-Allowance Risk",IF(H350&gt;Settings!$B$17,"Highly Beneficial; Allowance May Be Underused",IF(H350&gt;=Settings!$B$17,"Highly Beneficial",IF(H350&gt;=0.4,"Moderate",IF(H350&gt;0,"Low Benefit","No Advance Benefit")))))))</f>
        <v/>
      </c>
      <c r="K350" s="10" t="str">
        <f t="shared" si="23"/>
        <v/>
      </c>
    </row>
    <row r="351" spans="1:11" ht="14.25" customHeight="1">
      <c r="A351" s="10" t="str">
        <f>IF(Settings!$B$4="","",IF(Settings!$B$4+ROW()-4&lt;EDATE(Settings!$B$4,12),Settings!$B$4+ROW()-4,""))</f>
        <v/>
      </c>
      <c r="B351" s="9" t="str">
        <f t="shared" si="20"/>
        <v/>
      </c>
      <c r="C351" s="10" t="str">
        <f>IF(A351="","",IF(DAY(A351)&gt;=Settings!$B$5,DATE(YEAR(A351),MONTH(A351),Settings!$B$5),DATE(YEAR(EDATE(A351,-1)),MONTH(EDATE(A351,-1)),Settings!$B$5)))</f>
        <v/>
      </c>
      <c r="D351" s="8"/>
      <c r="E351" s="10" t="str">
        <f t="shared" si="21"/>
        <v/>
      </c>
      <c r="F351" s="10" t="str">
        <f>IF(A351="","",K350+Settings!$B$8)</f>
        <v/>
      </c>
      <c r="G351" s="11" t="str">
        <f t="shared" si="22"/>
        <v/>
      </c>
      <c r="H351" s="12" t="str">
        <f>IF(G351="","",G351/Settings!$B$8)</f>
        <v/>
      </c>
      <c r="I351" s="38" t="str">
        <f>IF(H351="","",H351*Settings!$B$11)</f>
        <v/>
      </c>
      <c r="J351" s="40" t="str">
        <f>IF(E351="","",IF(E351="W","Weekly Reset",IF(H351&gt;=1,"Very High Benefit; High Unused-Allowance Risk",IF(H351&gt;Settings!$B$17,"Highly Beneficial; Allowance May Be Underused",IF(H351&gt;=Settings!$B$17,"Highly Beneficial",IF(H351&gt;=0.4,"Moderate",IF(H351&gt;0,"Low Benefit","No Advance Benefit")))))))</f>
        <v/>
      </c>
      <c r="K351" s="10" t="str">
        <f t="shared" si="23"/>
        <v/>
      </c>
    </row>
    <row r="352" spans="1:11" ht="14.25" customHeight="1">
      <c r="A352" s="10" t="str">
        <f>IF(Settings!$B$4="","",IF(Settings!$B$4+ROW()-4&lt;EDATE(Settings!$B$4,12),Settings!$B$4+ROW()-4,""))</f>
        <v/>
      </c>
      <c r="B352" s="9" t="str">
        <f t="shared" si="20"/>
        <v/>
      </c>
      <c r="C352" s="10" t="str">
        <f>IF(A352="","",IF(DAY(A352)&gt;=Settings!$B$5,DATE(YEAR(A352),MONTH(A352),Settings!$B$5),DATE(YEAR(EDATE(A352,-1)),MONTH(EDATE(A352,-1)),Settings!$B$5)))</f>
        <v/>
      </c>
      <c r="D352" s="8"/>
      <c r="E352" s="10" t="str">
        <f t="shared" si="21"/>
        <v/>
      </c>
      <c r="F352" s="10" t="str">
        <f>IF(A352="","",K351+Settings!$B$8)</f>
        <v/>
      </c>
      <c r="G352" s="11" t="str">
        <f t="shared" si="22"/>
        <v/>
      </c>
      <c r="H352" s="12" t="str">
        <f>IF(G352="","",G352/Settings!$B$8)</f>
        <v/>
      </c>
      <c r="I352" s="38" t="str">
        <f>IF(H352="","",H352*Settings!$B$11)</f>
        <v/>
      </c>
      <c r="J352" s="40" t="str">
        <f>IF(E352="","",IF(E352="W","Weekly Reset",IF(H352&gt;=1,"Very High Benefit; High Unused-Allowance Risk",IF(H352&gt;Settings!$B$17,"Highly Beneficial; Allowance May Be Underused",IF(H352&gt;=Settings!$B$17,"Highly Beneficial",IF(H352&gt;=0.4,"Moderate",IF(H352&gt;0,"Low Benefit","No Advance Benefit")))))))</f>
        <v/>
      </c>
      <c r="K352" s="10" t="str">
        <f t="shared" si="23"/>
        <v/>
      </c>
    </row>
    <row r="353" spans="1:11" ht="14.25" customHeight="1">
      <c r="A353" s="10" t="str">
        <f>IF(Settings!$B$4="","",IF(Settings!$B$4+ROW()-4&lt;EDATE(Settings!$B$4,12),Settings!$B$4+ROW()-4,""))</f>
        <v/>
      </c>
      <c r="B353" s="9" t="str">
        <f t="shared" si="20"/>
        <v/>
      </c>
      <c r="C353" s="10" t="str">
        <f>IF(A353="","",IF(DAY(A353)&gt;=Settings!$B$5,DATE(YEAR(A353),MONTH(A353),Settings!$B$5),DATE(YEAR(EDATE(A353,-1)),MONTH(EDATE(A353,-1)),Settings!$B$5)))</f>
        <v/>
      </c>
      <c r="D353" s="8"/>
      <c r="E353" s="10" t="str">
        <f t="shared" si="21"/>
        <v/>
      </c>
      <c r="F353" s="10" t="str">
        <f>IF(A353="","",K352+Settings!$B$8)</f>
        <v/>
      </c>
      <c r="G353" s="11" t="str">
        <f t="shared" si="22"/>
        <v/>
      </c>
      <c r="H353" s="12" t="str">
        <f>IF(G353="","",G353/Settings!$B$8)</f>
        <v/>
      </c>
      <c r="I353" s="38" t="str">
        <f>IF(H353="","",H353*Settings!$B$11)</f>
        <v/>
      </c>
      <c r="J353" s="40" t="str">
        <f>IF(E353="","",IF(E353="W","Weekly Reset",IF(H353&gt;=1,"Very High Benefit; High Unused-Allowance Risk",IF(H353&gt;Settings!$B$17,"Highly Beneficial; Allowance May Be Underused",IF(H353&gt;=Settings!$B$17,"Highly Beneficial",IF(H353&gt;=0.4,"Moderate",IF(H353&gt;0,"Low Benefit","No Advance Benefit")))))))</f>
        <v/>
      </c>
      <c r="K353" s="10" t="str">
        <f t="shared" si="23"/>
        <v/>
      </c>
    </row>
    <row r="354" spans="1:11" ht="14.25" customHeight="1">
      <c r="A354" s="10" t="str">
        <f>IF(Settings!$B$4="","",IF(Settings!$B$4+ROW()-4&lt;EDATE(Settings!$B$4,12),Settings!$B$4+ROW()-4,""))</f>
        <v/>
      </c>
      <c r="B354" s="9" t="str">
        <f t="shared" si="20"/>
        <v/>
      </c>
      <c r="C354" s="10" t="str">
        <f>IF(A354="","",IF(DAY(A354)&gt;=Settings!$B$5,DATE(YEAR(A354),MONTH(A354),Settings!$B$5),DATE(YEAR(EDATE(A354,-1)),MONTH(EDATE(A354,-1)),Settings!$B$5)))</f>
        <v/>
      </c>
      <c r="D354" s="8"/>
      <c r="E354" s="10" t="str">
        <f t="shared" si="21"/>
        <v/>
      </c>
      <c r="F354" s="10" t="str">
        <f>IF(A354="","",K353+Settings!$B$8)</f>
        <v/>
      </c>
      <c r="G354" s="11" t="str">
        <f t="shared" si="22"/>
        <v/>
      </c>
      <c r="H354" s="12" t="str">
        <f>IF(G354="","",G354/Settings!$B$8)</f>
        <v/>
      </c>
      <c r="I354" s="38" t="str">
        <f>IF(H354="","",H354*Settings!$B$11)</f>
        <v/>
      </c>
      <c r="J354" s="40" t="str">
        <f>IF(E354="","",IF(E354="W","Weekly Reset",IF(H354&gt;=1,"Very High Benefit; High Unused-Allowance Risk",IF(H354&gt;Settings!$B$17,"Highly Beneficial; Allowance May Be Underused",IF(H354&gt;=Settings!$B$17,"Highly Beneficial",IF(H354&gt;=0.4,"Moderate",IF(H354&gt;0,"Low Benefit","No Advance Benefit")))))))</f>
        <v/>
      </c>
      <c r="K354" s="10" t="str">
        <f t="shared" si="23"/>
        <v/>
      </c>
    </row>
    <row r="355" spans="1:11" ht="14.25" customHeight="1">
      <c r="A355" s="10" t="str">
        <f>IF(Settings!$B$4="","",IF(Settings!$B$4+ROW()-4&lt;EDATE(Settings!$B$4,12),Settings!$B$4+ROW()-4,""))</f>
        <v/>
      </c>
      <c r="B355" s="9" t="str">
        <f t="shared" si="20"/>
        <v/>
      </c>
      <c r="C355" s="10" t="str">
        <f>IF(A355="","",IF(DAY(A355)&gt;=Settings!$B$5,DATE(YEAR(A355),MONTH(A355),Settings!$B$5),DATE(YEAR(EDATE(A355,-1)),MONTH(EDATE(A355,-1)),Settings!$B$5)))</f>
        <v/>
      </c>
      <c r="D355" s="8"/>
      <c r="E355" s="10" t="str">
        <f t="shared" si="21"/>
        <v/>
      </c>
      <c r="F355" s="10" t="str">
        <f>IF(A355="","",K354+Settings!$B$8)</f>
        <v/>
      </c>
      <c r="G355" s="11" t="str">
        <f t="shared" si="22"/>
        <v/>
      </c>
      <c r="H355" s="12" t="str">
        <f>IF(G355="","",G355/Settings!$B$8)</f>
        <v/>
      </c>
      <c r="I355" s="38" t="str">
        <f>IF(H355="","",H355*Settings!$B$11)</f>
        <v/>
      </c>
      <c r="J355" s="40" t="str">
        <f>IF(E355="","",IF(E355="W","Weekly Reset",IF(H355&gt;=1,"Very High Benefit; High Unused-Allowance Risk",IF(H355&gt;Settings!$B$17,"Highly Beneficial; Allowance May Be Underused",IF(H355&gt;=Settings!$B$17,"Highly Beneficial",IF(H355&gt;=0.4,"Moderate",IF(H355&gt;0,"Low Benefit","No Advance Benefit")))))))</f>
        <v/>
      </c>
      <c r="K355" s="10" t="str">
        <f t="shared" si="23"/>
        <v/>
      </c>
    </row>
    <row r="356" spans="1:11" ht="14.25" customHeight="1">
      <c r="A356" s="10" t="str">
        <f>IF(Settings!$B$4="","",IF(Settings!$B$4+ROW()-4&lt;EDATE(Settings!$B$4,12),Settings!$B$4+ROW()-4,""))</f>
        <v/>
      </c>
      <c r="B356" s="9" t="str">
        <f t="shared" si="20"/>
        <v/>
      </c>
      <c r="C356" s="10" t="str">
        <f>IF(A356="","",IF(DAY(A356)&gt;=Settings!$B$5,DATE(YEAR(A356),MONTH(A356),Settings!$B$5),DATE(YEAR(EDATE(A356,-1)),MONTH(EDATE(A356,-1)),Settings!$B$5)))</f>
        <v/>
      </c>
      <c r="D356" s="8"/>
      <c r="E356" s="10" t="str">
        <f t="shared" si="21"/>
        <v/>
      </c>
      <c r="F356" s="10" t="str">
        <f>IF(A356="","",K355+Settings!$B$8)</f>
        <v/>
      </c>
      <c r="G356" s="11" t="str">
        <f t="shared" si="22"/>
        <v/>
      </c>
      <c r="H356" s="12" t="str">
        <f>IF(G356="","",G356/Settings!$B$8)</f>
        <v/>
      </c>
      <c r="I356" s="38" t="str">
        <f>IF(H356="","",H356*Settings!$B$11)</f>
        <v/>
      </c>
      <c r="J356" s="40" t="str">
        <f>IF(E356="","",IF(E356="W","Weekly Reset",IF(H356&gt;=1,"Very High Benefit; High Unused-Allowance Risk",IF(H356&gt;Settings!$B$17,"Highly Beneficial; Allowance May Be Underused",IF(H356&gt;=Settings!$B$17,"Highly Beneficial",IF(H356&gt;=0.4,"Moderate",IF(H356&gt;0,"Low Benefit","No Advance Benefit")))))))</f>
        <v/>
      </c>
      <c r="K356" s="10" t="str">
        <f t="shared" si="23"/>
        <v/>
      </c>
    </row>
    <row r="357" spans="1:11" ht="14.25" customHeight="1">
      <c r="A357" s="10" t="str">
        <f>IF(Settings!$B$4="","",IF(Settings!$B$4+ROW()-4&lt;EDATE(Settings!$B$4,12),Settings!$B$4+ROW()-4,""))</f>
        <v/>
      </c>
      <c r="B357" s="9" t="str">
        <f t="shared" si="20"/>
        <v/>
      </c>
      <c r="C357" s="10" t="str">
        <f>IF(A357="","",IF(DAY(A357)&gt;=Settings!$B$5,DATE(YEAR(A357),MONTH(A357),Settings!$B$5),DATE(YEAR(EDATE(A357,-1)),MONTH(EDATE(A357,-1)),Settings!$B$5)))</f>
        <v/>
      </c>
      <c r="D357" s="8"/>
      <c r="E357" s="10" t="str">
        <f t="shared" si="21"/>
        <v/>
      </c>
      <c r="F357" s="10" t="str">
        <f>IF(A357="","",K356+Settings!$B$8)</f>
        <v/>
      </c>
      <c r="G357" s="11" t="str">
        <f t="shared" si="22"/>
        <v/>
      </c>
      <c r="H357" s="12" t="str">
        <f>IF(G357="","",G357/Settings!$B$8)</f>
        <v/>
      </c>
      <c r="I357" s="38" t="str">
        <f>IF(H357="","",H357*Settings!$B$11)</f>
        <v/>
      </c>
      <c r="J357" s="40" t="str">
        <f>IF(E357="","",IF(E357="W","Weekly Reset",IF(H357&gt;=1,"Very High Benefit; High Unused-Allowance Risk",IF(H357&gt;Settings!$B$17,"Highly Beneficial; Allowance May Be Underused",IF(H357&gt;=Settings!$B$17,"Highly Beneficial",IF(H357&gt;=0.4,"Moderate",IF(H357&gt;0,"Low Benefit","No Advance Benefit")))))))</f>
        <v/>
      </c>
      <c r="K357" s="10" t="str">
        <f t="shared" si="23"/>
        <v/>
      </c>
    </row>
    <row r="358" spans="1:11" ht="14.25" customHeight="1">
      <c r="A358" s="10" t="str">
        <f>IF(Settings!$B$4="","",IF(Settings!$B$4+ROW()-4&lt;EDATE(Settings!$B$4,12),Settings!$B$4+ROW()-4,""))</f>
        <v/>
      </c>
      <c r="B358" s="9" t="str">
        <f t="shared" si="20"/>
        <v/>
      </c>
      <c r="C358" s="10" t="str">
        <f>IF(A358="","",IF(DAY(A358)&gt;=Settings!$B$5,DATE(YEAR(A358),MONTH(A358),Settings!$B$5),DATE(YEAR(EDATE(A358,-1)),MONTH(EDATE(A358,-1)),Settings!$B$5)))</f>
        <v/>
      </c>
      <c r="D358" s="8"/>
      <c r="E358" s="10" t="str">
        <f t="shared" si="21"/>
        <v/>
      </c>
      <c r="F358" s="10" t="str">
        <f>IF(A358="","",K357+Settings!$B$8)</f>
        <v/>
      </c>
      <c r="G358" s="11" t="str">
        <f t="shared" si="22"/>
        <v/>
      </c>
      <c r="H358" s="12" t="str">
        <f>IF(G358="","",G358/Settings!$B$8)</f>
        <v/>
      </c>
      <c r="I358" s="38" t="str">
        <f>IF(H358="","",H358*Settings!$B$11)</f>
        <v/>
      </c>
      <c r="J358" s="40" t="str">
        <f>IF(E358="","",IF(E358="W","Weekly Reset",IF(H358&gt;=1,"Very High Benefit; High Unused-Allowance Risk",IF(H358&gt;Settings!$B$17,"Highly Beneficial; Allowance May Be Underused",IF(H358&gt;=Settings!$B$17,"Highly Beneficial",IF(H358&gt;=0.4,"Moderate",IF(H358&gt;0,"Low Benefit","No Advance Benefit")))))))</f>
        <v/>
      </c>
      <c r="K358" s="10" t="str">
        <f t="shared" si="23"/>
        <v/>
      </c>
    </row>
    <row r="359" spans="1:11" ht="14.25" customHeight="1">
      <c r="A359" s="10" t="str">
        <f>IF(Settings!$B$4="","",IF(Settings!$B$4+ROW()-4&lt;EDATE(Settings!$B$4,12),Settings!$B$4+ROW()-4,""))</f>
        <v/>
      </c>
      <c r="B359" s="9" t="str">
        <f t="shared" si="20"/>
        <v/>
      </c>
      <c r="C359" s="10" t="str">
        <f>IF(A359="","",IF(DAY(A359)&gt;=Settings!$B$5,DATE(YEAR(A359),MONTH(A359),Settings!$B$5),DATE(YEAR(EDATE(A359,-1)),MONTH(EDATE(A359,-1)),Settings!$B$5)))</f>
        <v/>
      </c>
      <c r="D359" s="8"/>
      <c r="E359" s="10" t="str">
        <f t="shared" si="21"/>
        <v/>
      </c>
      <c r="F359" s="10" t="str">
        <f>IF(A359="","",K358+Settings!$B$8)</f>
        <v/>
      </c>
      <c r="G359" s="11" t="str">
        <f t="shared" si="22"/>
        <v/>
      </c>
      <c r="H359" s="12" t="str">
        <f>IF(G359="","",G359/Settings!$B$8)</f>
        <v/>
      </c>
      <c r="I359" s="38" t="str">
        <f>IF(H359="","",H359*Settings!$B$11)</f>
        <v/>
      </c>
      <c r="J359" s="40" t="str">
        <f>IF(E359="","",IF(E359="W","Weekly Reset",IF(H359&gt;=1,"Very High Benefit; High Unused-Allowance Risk",IF(H359&gt;Settings!$B$17,"Highly Beneficial; Allowance May Be Underused",IF(H359&gt;=Settings!$B$17,"Highly Beneficial",IF(H359&gt;=0.4,"Moderate",IF(H359&gt;0,"Low Benefit","No Advance Benefit")))))))</f>
        <v/>
      </c>
      <c r="K359" s="10" t="str">
        <f t="shared" si="23"/>
        <v/>
      </c>
    </row>
    <row r="360" spans="1:11" ht="14.25" customHeight="1">
      <c r="A360" s="10" t="str">
        <f>IF(Settings!$B$4="","",IF(Settings!$B$4+ROW()-4&lt;EDATE(Settings!$B$4,12),Settings!$B$4+ROW()-4,""))</f>
        <v/>
      </c>
      <c r="B360" s="9" t="str">
        <f t="shared" si="20"/>
        <v/>
      </c>
      <c r="C360" s="10" t="str">
        <f>IF(A360="","",IF(DAY(A360)&gt;=Settings!$B$5,DATE(YEAR(A360),MONTH(A360),Settings!$B$5),DATE(YEAR(EDATE(A360,-1)),MONTH(EDATE(A360,-1)),Settings!$B$5)))</f>
        <v/>
      </c>
      <c r="D360" s="8"/>
      <c r="E360" s="10" t="str">
        <f t="shared" si="21"/>
        <v/>
      </c>
      <c r="F360" s="10" t="str">
        <f>IF(A360="","",K359+Settings!$B$8)</f>
        <v/>
      </c>
      <c r="G360" s="11" t="str">
        <f t="shared" si="22"/>
        <v/>
      </c>
      <c r="H360" s="12" t="str">
        <f>IF(G360="","",G360/Settings!$B$8)</f>
        <v/>
      </c>
      <c r="I360" s="38" t="str">
        <f>IF(H360="","",H360*Settings!$B$11)</f>
        <v/>
      </c>
      <c r="J360" s="40" t="str">
        <f>IF(E360="","",IF(E360="W","Weekly Reset",IF(H360&gt;=1,"Very High Benefit; High Unused-Allowance Risk",IF(H360&gt;Settings!$B$17,"Highly Beneficial; Allowance May Be Underused",IF(H360&gt;=Settings!$B$17,"Highly Beneficial",IF(H360&gt;=0.4,"Moderate",IF(H360&gt;0,"Low Benefit","No Advance Benefit")))))))</f>
        <v/>
      </c>
      <c r="K360" s="10" t="str">
        <f t="shared" si="23"/>
        <v/>
      </c>
    </row>
    <row r="361" spans="1:11" ht="14.25" customHeight="1">
      <c r="A361" s="10" t="str">
        <f>IF(Settings!$B$4="","",IF(Settings!$B$4+ROW()-4&lt;EDATE(Settings!$B$4,12),Settings!$B$4+ROW()-4,""))</f>
        <v/>
      </c>
      <c r="B361" s="9" t="str">
        <f t="shared" si="20"/>
        <v/>
      </c>
      <c r="C361" s="10" t="str">
        <f>IF(A361="","",IF(DAY(A361)&gt;=Settings!$B$5,DATE(YEAR(A361),MONTH(A361),Settings!$B$5),DATE(YEAR(EDATE(A361,-1)),MONTH(EDATE(A361,-1)),Settings!$B$5)))</f>
        <v/>
      </c>
      <c r="D361" s="8"/>
      <c r="E361" s="10" t="str">
        <f t="shared" si="21"/>
        <v/>
      </c>
      <c r="F361" s="10" t="str">
        <f>IF(A361="","",K360+Settings!$B$8)</f>
        <v/>
      </c>
      <c r="G361" s="11" t="str">
        <f t="shared" si="22"/>
        <v/>
      </c>
      <c r="H361" s="12" t="str">
        <f>IF(G361="","",G361/Settings!$B$8)</f>
        <v/>
      </c>
      <c r="I361" s="38" t="str">
        <f>IF(H361="","",H361*Settings!$B$11)</f>
        <v/>
      </c>
      <c r="J361" s="40" t="str">
        <f>IF(E361="","",IF(E361="W","Weekly Reset",IF(H361&gt;=1,"Very High Benefit; High Unused-Allowance Risk",IF(H361&gt;Settings!$B$17,"Highly Beneficial; Allowance May Be Underused",IF(H361&gt;=Settings!$B$17,"Highly Beneficial",IF(H361&gt;=0.4,"Moderate",IF(H361&gt;0,"Low Benefit","No Advance Benefit")))))))</f>
        <v/>
      </c>
      <c r="K361" s="10" t="str">
        <f t="shared" si="23"/>
        <v/>
      </c>
    </row>
    <row r="362" spans="1:11" ht="14.25" customHeight="1">
      <c r="A362" s="10" t="str">
        <f>IF(Settings!$B$4="","",IF(Settings!$B$4+ROW()-4&lt;EDATE(Settings!$B$4,12),Settings!$B$4+ROW()-4,""))</f>
        <v/>
      </c>
      <c r="B362" s="9" t="str">
        <f t="shared" si="20"/>
        <v/>
      </c>
      <c r="C362" s="10" t="str">
        <f>IF(A362="","",IF(DAY(A362)&gt;=Settings!$B$5,DATE(YEAR(A362),MONTH(A362),Settings!$B$5),DATE(YEAR(EDATE(A362,-1)),MONTH(EDATE(A362,-1)),Settings!$B$5)))</f>
        <v/>
      </c>
      <c r="D362" s="8"/>
      <c r="E362" s="10" t="str">
        <f t="shared" si="21"/>
        <v/>
      </c>
      <c r="F362" s="10" t="str">
        <f>IF(A362="","",K361+Settings!$B$8)</f>
        <v/>
      </c>
      <c r="G362" s="11" t="str">
        <f t="shared" si="22"/>
        <v/>
      </c>
      <c r="H362" s="12" t="str">
        <f>IF(G362="","",G362/Settings!$B$8)</f>
        <v/>
      </c>
      <c r="I362" s="38" t="str">
        <f>IF(H362="","",H362*Settings!$B$11)</f>
        <v/>
      </c>
      <c r="J362" s="40" t="str">
        <f>IF(E362="","",IF(E362="W","Weekly Reset",IF(H362&gt;=1,"Very High Benefit; High Unused-Allowance Risk",IF(H362&gt;Settings!$B$17,"Highly Beneficial; Allowance May Be Underused",IF(H362&gt;=Settings!$B$17,"Highly Beneficial",IF(H362&gt;=0.4,"Moderate",IF(H362&gt;0,"Low Benefit","No Advance Benefit")))))))</f>
        <v/>
      </c>
      <c r="K362" s="10" t="str">
        <f t="shared" si="23"/>
        <v/>
      </c>
    </row>
    <row r="363" spans="1:11" ht="14.25" customHeight="1">
      <c r="A363" s="10" t="str">
        <f>IF(Settings!$B$4="","",IF(Settings!$B$4+ROW()-4&lt;EDATE(Settings!$B$4,12),Settings!$B$4+ROW()-4,""))</f>
        <v/>
      </c>
      <c r="B363" s="9" t="str">
        <f t="shared" si="20"/>
        <v/>
      </c>
      <c r="C363" s="10" t="str">
        <f>IF(A363="","",IF(DAY(A363)&gt;=Settings!$B$5,DATE(YEAR(A363),MONTH(A363),Settings!$B$5),DATE(YEAR(EDATE(A363,-1)),MONTH(EDATE(A363,-1)),Settings!$B$5)))</f>
        <v/>
      </c>
      <c r="D363" s="8"/>
      <c r="E363" s="10" t="str">
        <f t="shared" si="21"/>
        <v/>
      </c>
      <c r="F363" s="10" t="str">
        <f>IF(A363="","",K362+Settings!$B$8)</f>
        <v/>
      </c>
      <c r="G363" s="11" t="str">
        <f t="shared" si="22"/>
        <v/>
      </c>
      <c r="H363" s="12" t="str">
        <f>IF(G363="","",G363/Settings!$B$8)</f>
        <v/>
      </c>
      <c r="I363" s="38" t="str">
        <f>IF(H363="","",H363*Settings!$B$11)</f>
        <v/>
      </c>
      <c r="J363" s="40" t="str">
        <f>IF(E363="","",IF(E363="W","Weekly Reset",IF(H363&gt;=1,"Very High Benefit; High Unused-Allowance Risk",IF(H363&gt;Settings!$B$17,"Highly Beneficial; Allowance May Be Underused",IF(H363&gt;=Settings!$B$17,"Highly Beneficial",IF(H363&gt;=0.4,"Moderate",IF(H363&gt;0,"Low Benefit","No Advance Benefit")))))))</f>
        <v/>
      </c>
      <c r="K363" s="10" t="str">
        <f t="shared" si="23"/>
        <v/>
      </c>
    </row>
    <row r="364" spans="1:11" ht="14.25" customHeight="1">
      <c r="A364" s="10" t="str">
        <f>IF(Settings!$B$4="","",IF(Settings!$B$4+ROW()-4&lt;EDATE(Settings!$B$4,12),Settings!$B$4+ROW()-4,""))</f>
        <v/>
      </c>
      <c r="B364" s="9" t="str">
        <f t="shared" si="20"/>
        <v/>
      </c>
      <c r="C364" s="10" t="str">
        <f>IF(A364="","",IF(DAY(A364)&gt;=Settings!$B$5,DATE(YEAR(A364),MONTH(A364),Settings!$B$5),DATE(YEAR(EDATE(A364,-1)),MONTH(EDATE(A364,-1)),Settings!$B$5)))</f>
        <v/>
      </c>
      <c r="D364" s="8"/>
      <c r="E364" s="10" t="str">
        <f t="shared" si="21"/>
        <v/>
      </c>
      <c r="F364" s="10" t="str">
        <f>IF(A364="","",K363+Settings!$B$8)</f>
        <v/>
      </c>
      <c r="G364" s="11" t="str">
        <f t="shared" si="22"/>
        <v/>
      </c>
      <c r="H364" s="12" t="str">
        <f>IF(G364="","",G364/Settings!$B$8)</f>
        <v/>
      </c>
      <c r="I364" s="38" t="str">
        <f>IF(H364="","",H364*Settings!$B$11)</f>
        <v/>
      </c>
      <c r="J364" s="40" t="str">
        <f>IF(E364="","",IF(E364="W","Weekly Reset",IF(H364&gt;=1,"Very High Benefit; High Unused-Allowance Risk",IF(H364&gt;Settings!$B$17,"Highly Beneficial; Allowance May Be Underused",IF(H364&gt;=Settings!$B$17,"Highly Beneficial",IF(H364&gt;=0.4,"Moderate",IF(H364&gt;0,"Low Benefit","No Advance Benefit")))))))</f>
        <v/>
      </c>
      <c r="K364" s="10" t="str">
        <f t="shared" si="23"/>
        <v/>
      </c>
    </row>
    <row r="365" spans="1:11" ht="14.25" customHeight="1">
      <c r="A365" s="10" t="str">
        <f>IF(Settings!$B$4="","",IF(Settings!$B$4+ROW()-4&lt;EDATE(Settings!$B$4,12),Settings!$B$4+ROW()-4,""))</f>
        <v/>
      </c>
      <c r="B365" s="9" t="str">
        <f t="shared" si="20"/>
        <v/>
      </c>
      <c r="C365" s="10" t="str">
        <f>IF(A365="","",IF(DAY(A365)&gt;=Settings!$B$5,DATE(YEAR(A365),MONTH(A365),Settings!$B$5),DATE(YEAR(EDATE(A365,-1)),MONTH(EDATE(A365,-1)),Settings!$B$5)))</f>
        <v/>
      </c>
      <c r="D365" s="8"/>
      <c r="E365" s="10" t="str">
        <f t="shared" si="21"/>
        <v/>
      </c>
      <c r="F365" s="10" t="str">
        <f>IF(A365="","",K364+Settings!$B$8)</f>
        <v/>
      </c>
      <c r="G365" s="11" t="str">
        <f t="shared" si="22"/>
        <v/>
      </c>
      <c r="H365" s="12" t="str">
        <f>IF(G365="","",G365/Settings!$B$8)</f>
        <v/>
      </c>
      <c r="I365" s="38" t="str">
        <f>IF(H365="","",H365*Settings!$B$11)</f>
        <v/>
      </c>
      <c r="J365" s="40" t="str">
        <f>IF(E365="","",IF(E365="W","Weekly Reset",IF(H365&gt;=1,"Very High Benefit; High Unused-Allowance Risk",IF(H365&gt;Settings!$B$17,"Highly Beneficial; Allowance May Be Underused",IF(H365&gt;=Settings!$B$17,"Highly Beneficial",IF(H365&gt;=0.4,"Moderate",IF(H365&gt;0,"Low Benefit","No Advance Benefit")))))))</f>
        <v/>
      </c>
      <c r="K365" s="10" t="str">
        <f t="shared" si="23"/>
        <v/>
      </c>
    </row>
    <row r="366" spans="1:11" ht="14.25" customHeight="1">
      <c r="A366" s="10" t="str">
        <f>IF(Settings!$B$4="","",IF(Settings!$B$4+ROW()-4&lt;EDATE(Settings!$B$4,12),Settings!$B$4+ROW()-4,""))</f>
        <v/>
      </c>
      <c r="B366" s="9" t="str">
        <f t="shared" si="20"/>
        <v/>
      </c>
      <c r="C366" s="10" t="str">
        <f>IF(A366="","",IF(DAY(A366)&gt;=Settings!$B$5,DATE(YEAR(A366),MONTH(A366),Settings!$B$5),DATE(YEAR(EDATE(A366,-1)),MONTH(EDATE(A366,-1)),Settings!$B$5)))</f>
        <v/>
      </c>
      <c r="D366" s="8"/>
      <c r="E366" s="10" t="str">
        <f t="shared" si="21"/>
        <v/>
      </c>
      <c r="F366" s="10" t="str">
        <f>IF(A366="","",K365+Settings!$B$8)</f>
        <v/>
      </c>
      <c r="G366" s="11" t="str">
        <f t="shared" si="22"/>
        <v/>
      </c>
      <c r="H366" s="12" t="str">
        <f>IF(G366="","",G366/Settings!$B$8)</f>
        <v/>
      </c>
      <c r="I366" s="38" t="str">
        <f>IF(H366="","",H366*Settings!$B$11)</f>
        <v/>
      </c>
      <c r="J366" s="40" t="str">
        <f>IF(E366="","",IF(E366="W","Weekly Reset",IF(H366&gt;=1,"Very High Benefit; High Unused-Allowance Risk",IF(H366&gt;Settings!$B$17,"Highly Beneficial; Allowance May Be Underused",IF(H366&gt;=Settings!$B$17,"Highly Beneficial",IF(H366&gt;=0.4,"Moderate",IF(H366&gt;0,"Low Benefit","No Advance Benefit")))))))</f>
        <v/>
      </c>
      <c r="K366" s="10" t="str">
        <f t="shared" si="23"/>
        <v/>
      </c>
    </row>
    <row r="367" spans="1:11" ht="14.25" customHeight="1">
      <c r="A367" s="10" t="str">
        <f>IF(Settings!$B$4="","",IF(Settings!$B$4+ROW()-4&lt;EDATE(Settings!$B$4,12),Settings!$B$4+ROW()-4,""))</f>
        <v/>
      </c>
      <c r="B367" s="9" t="str">
        <f t="shared" si="20"/>
        <v/>
      </c>
      <c r="C367" s="10" t="str">
        <f>IF(A367="","",IF(DAY(A367)&gt;=Settings!$B$5,DATE(YEAR(A367),MONTH(A367),Settings!$B$5),DATE(YEAR(EDATE(A367,-1)),MONTH(EDATE(A367,-1)),Settings!$B$5)))</f>
        <v/>
      </c>
      <c r="D367" s="8"/>
      <c r="E367" s="10" t="str">
        <f t="shared" si="21"/>
        <v/>
      </c>
      <c r="F367" s="10" t="str">
        <f>IF(A367="","",K366+Settings!$B$8)</f>
        <v/>
      </c>
      <c r="G367" s="11" t="str">
        <f t="shared" si="22"/>
        <v/>
      </c>
      <c r="H367" s="12" t="str">
        <f>IF(G367="","",G367/Settings!$B$8)</f>
        <v/>
      </c>
      <c r="I367" s="38" t="str">
        <f>IF(H367="","",H367*Settings!$B$11)</f>
        <v/>
      </c>
      <c r="J367" s="40" t="str">
        <f>IF(E367="","",IF(E367="W","Weekly Reset",IF(H367&gt;=1,"Very High Benefit; High Unused-Allowance Risk",IF(H367&gt;Settings!$B$17,"Highly Beneficial; Allowance May Be Underused",IF(H367&gt;=Settings!$B$17,"Highly Beneficial",IF(H367&gt;=0.4,"Moderate",IF(H367&gt;0,"Low Benefit","No Advance Benefit")))))))</f>
        <v/>
      </c>
      <c r="K367" s="10" t="str">
        <f t="shared" si="23"/>
        <v/>
      </c>
    </row>
    <row r="368" spans="1:11" ht="14.25" customHeight="1">
      <c r="A368" s="10" t="str">
        <f>IF(Settings!$B$4="","",IF(Settings!$B$4+ROW()-4&lt;EDATE(Settings!$B$4,12),Settings!$B$4+ROW()-4,""))</f>
        <v/>
      </c>
      <c r="B368" s="9" t="str">
        <f t="shared" si="20"/>
        <v/>
      </c>
      <c r="C368" s="10" t="str">
        <f>IF(A368="","",IF(DAY(A368)&gt;=Settings!$B$5,DATE(YEAR(A368),MONTH(A368),Settings!$B$5),DATE(YEAR(EDATE(A368,-1)),MONTH(EDATE(A368,-1)),Settings!$B$5)))</f>
        <v/>
      </c>
      <c r="D368" s="8"/>
      <c r="E368" s="10" t="str">
        <f t="shared" si="21"/>
        <v/>
      </c>
      <c r="F368" s="10" t="str">
        <f>IF(A368="","",K367+Settings!$B$8)</f>
        <v/>
      </c>
      <c r="G368" s="11" t="str">
        <f t="shared" si="22"/>
        <v/>
      </c>
      <c r="H368" s="12" t="str">
        <f>IF(G368="","",G368/Settings!$B$8)</f>
        <v/>
      </c>
      <c r="I368" s="38" t="str">
        <f>IF(H368="","",H368*Settings!$B$11)</f>
        <v/>
      </c>
      <c r="J368" s="40" t="str">
        <f>IF(E368="","",IF(E368="W","Weekly Reset",IF(H368&gt;=1,"Very High Benefit; High Unused-Allowance Risk",IF(H368&gt;Settings!$B$17,"Highly Beneficial; Allowance May Be Underused",IF(H368&gt;=Settings!$B$17,"Highly Beneficial",IF(H368&gt;=0.4,"Moderate",IF(H368&gt;0,"Low Benefit","No Advance Benefit")))))))</f>
        <v/>
      </c>
      <c r="K368" s="10" t="str">
        <f t="shared" si="23"/>
        <v/>
      </c>
    </row>
    <row r="369" spans="1:11" ht="14.25" customHeight="1">
      <c r="A369" s="10" t="str">
        <f>IF(Settings!$B$4="","",IF(Settings!$B$4+ROW()-4&lt;EDATE(Settings!$B$4,12),Settings!$B$4+ROW()-4,""))</f>
        <v/>
      </c>
      <c r="B369" s="9" t="str">
        <f t="shared" si="20"/>
        <v/>
      </c>
      <c r="C369" s="10" t="str">
        <f>IF(A369="","",IF(DAY(A369)&gt;=Settings!$B$5,DATE(YEAR(A369),MONTH(A369),Settings!$B$5),DATE(YEAR(EDATE(A369,-1)),MONTH(EDATE(A369,-1)),Settings!$B$5)))</f>
        <v/>
      </c>
      <c r="D369" s="8"/>
      <c r="E369" s="10" t="str">
        <f t="shared" si="21"/>
        <v/>
      </c>
      <c r="F369" s="10" t="str">
        <f>IF(A369="","",K368+Settings!$B$8)</f>
        <v/>
      </c>
      <c r="G369" s="11" t="str">
        <f t="shared" si="22"/>
        <v/>
      </c>
      <c r="H369" s="12" t="str">
        <f>IF(G369="","",G369/Settings!$B$8)</f>
        <v/>
      </c>
      <c r="I369" s="38" t="str">
        <f>IF(H369="","",H369*Settings!$B$11)</f>
        <v/>
      </c>
      <c r="J369" s="40" t="str">
        <f>IF(E369="","",IF(E369="W","Weekly Reset",IF(H369&gt;=1,"Very High Benefit; High Unused-Allowance Risk",IF(H369&gt;Settings!$B$17,"Highly Beneficial; Allowance May Be Underused",IF(H369&gt;=Settings!$B$17,"Highly Beneficial",IF(H369&gt;=0.4,"Moderate",IF(H369&gt;0,"Low Benefit","No Advance Benefit")))))))</f>
        <v/>
      </c>
      <c r="K369" s="10" t="str">
        <f t="shared" si="23"/>
        <v/>
      </c>
    </row>
  </sheetData>
  <mergeCells count="1">
    <mergeCell ref="A1:J1"/>
  </mergeCells>
  <phoneticPr fontId="7" type="noConversion"/>
  <conditionalFormatting sqref="E4:E369">
    <cfRule type="expression" dxfId="4" priority="2">
      <formula>E4="W"</formula>
    </cfRule>
    <cfRule type="expression" dxfId="3" priority="3">
      <formula>E4="T"</formula>
    </cfRule>
    <cfRule type="expression" dxfId="2" priority="4">
      <formula>E4="B"</formula>
    </cfRule>
    <cfRule type="expression" dxfId="1" priority="5">
      <formula>E4="P"</formula>
    </cfRule>
    <cfRule type="expression" dxfId="0" priority="6">
      <formula>E4="O"</formula>
    </cfRule>
  </conditionalFormatting>
  <conditionalFormatting sqref="H4:H369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dataValidations count="1">
    <dataValidation type="list" allowBlank="1" showInputMessage="1" showErrorMessage="1" sqref="D4:D369" xr:uid="{00000000-0002-0000-0100-000000000000}">
      <formula1>"T,B,P,O"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8"/>
  <sheetViews>
    <sheetView tabSelected="1" topLeftCell="E1" workbookViewId="0">
      <selection activeCell="K12" sqref="K12"/>
    </sheetView>
  </sheetViews>
  <sheetFormatPr defaultRowHeight="14.25" customHeight="1"/>
  <cols>
    <col min="1" max="1" width="27.640625" customWidth="1"/>
    <col min="2" max="2" width="15.85546875" customWidth="1"/>
    <col min="3" max="3" width="52.92578125" customWidth="1"/>
    <col min="4" max="4" width="15.2109375" customWidth="1"/>
    <col min="5" max="5" width="30.28515625" customWidth="1"/>
    <col min="6" max="6" width="12.92578125" customWidth="1"/>
    <col min="7" max="7" width="33.640625" customWidth="1"/>
    <col min="8" max="8" width="36.140625" customWidth="1"/>
    <col min="9" max="9" width="20.78515625" customWidth="1"/>
    <col min="10" max="10" width="25.78515625" customWidth="1"/>
    <col min="11" max="11" width="23.140625" customWidth="1"/>
  </cols>
  <sheetData>
    <row r="1" spans="1:11" ht="28.4" customHeight="1">
      <c r="A1" s="43" t="s">
        <v>56</v>
      </c>
      <c r="B1" s="42"/>
      <c r="C1" s="42"/>
      <c r="D1" s="42"/>
      <c r="E1" s="42"/>
      <c r="F1" s="42"/>
      <c r="G1" s="42"/>
      <c r="H1" s="42"/>
      <c r="I1" s="42"/>
      <c r="J1" s="42"/>
      <c r="K1" s="42"/>
    </row>
    <row r="3" spans="1:11" ht="14.25" customHeight="1">
      <c r="A3" s="13" t="s">
        <v>57</v>
      </c>
      <c r="B3" s="39">
        <f>Settings!B6</f>
        <v>0</v>
      </c>
      <c r="C3" s="13" t="s">
        <v>58</v>
      </c>
      <c r="D3" s="39">
        <f>Settings!B11</f>
        <v>0</v>
      </c>
      <c r="E3" s="13" t="s">
        <v>59</v>
      </c>
      <c r="F3" s="14">
        <f>SUM(D7:D18)</f>
        <v>0</v>
      </c>
      <c r="G3" s="15" t="s">
        <v>60</v>
      </c>
      <c r="H3" s="14">
        <f>SUM(F7:F18)</f>
        <v>0</v>
      </c>
      <c r="I3" s="9"/>
    </row>
    <row r="4" spans="1:11" ht="14.25" customHeight="1">
      <c r="A4" s="13" t="s">
        <v>31</v>
      </c>
      <c r="B4" s="39">
        <f>Settings!B10</f>
        <v>0</v>
      </c>
      <c r="C4" s="13" t="s">
        <v>44</v>
      </c>
      <c r="D4" s="16">
        <f>Settings!B17</f>
        <v>0.7142857142857143</v>
      </c>
      <c r="E4" s="13" t="s">
        <v>61</v>
      </c>
      <c r="F4" s="17">
        <f>SUM(H7:H18)</f>
        <v>0</v>
      </c>
      <c r="G4" s="13" t="s">
        <v>62</v>
      </c>
      <c r="H4" s="16">
        <f>IF(SUM(F7:F18)=0,0,SUM(H7:H18)/SUM(F7:F18))</f>
        <v>0</v>
      </c>
      <c r="I4" s="9"/>
    </row>
    <row r="6" spans="1:11" ht="14.25" customHeight="1">
      <c r="A6" s="1" t="s">
        <v>63</v>
      </c>
      <c r="B6" s="1" t="s">
        <v>64</v>
      </c>
      <c r="C6" s="1" t="s">
        <v>65</v>
      </c>
      <c r="D6" s="1" t="s">
        <v>66</v>
      </c>
      <c r="E6" s="1" t="s">
        <v>67</v>
      </c>
      <c r="F6" s="1" t="s">
        <v>68</v>
      </c>
      <c r="G6" s="1" t="s">
        <v>69</v>
      </c>
      <c r="H6" s="1" t="s">
        <v>70</v>
      </c>
      <c r="I6" s="1" t="s">
        <v>55</v>
      </c>
      <c r="J6" s="1" t="s">
        <v>83</v>
      </c>
      <c r="K6" s="1" t="s">
        <v>71</v>
      </c>
    </row>
    <row r="7" spans="1:11" ht="14.25" customHeight="1">
      <c r="A7" s="5" t="str">
        <f t="shared" ref="A7:A18" si="0">IF(B7="","",TEXT(B7,"yyyy-mm"))</f>
        <v/>
      </c>
      <c r="B7" s="28" t="str">
        <f>IF(Settings!$B$4="","",Settings!$B$4)</f>
        <v/>
      </c>
      <c r="C7" s="28" t="str">
        <f t="shared" ref="C7:C18" si="1">IF(B7="","",EDATE(B7,1)-1)</f>
        <v/>
      </c>
      <c r="D7" s="29" t="str">
        <f t="shared" ref="D7:D18" si="2">IF(B7="","",E7+F7)</f>
        <v/>
      </c>
      <c r="E7" s="29" t="str">
        <f>IF(B7="","",COUNTIFS('Daily Records'!$A$4:$A$369,"&gt;="&amp;B7,'Daily Records'!$A$4:$A$369,"&lt;="&amp;C7,'Daily Records'!$E$4:$E$369,"W"))</f>
        <v/>
      </c>
      <c r="F7" s="29" t="str">
        <f>IF(B7="","",COUNTIFS('Daily Records'!$A$4:$A$369,"&gt;="&amp;B7,'Daily Records'!$A$4:$A$369,"&lt;="&amp;C7,'Daily Records'!$D$4:$D$369,"&lt;&gt;"))</f>
        <v/>
      </c>
      <c r="G7" s="29" t="str">
        <f>IF(B7="","",SUMIFS('Daily Records'!$G$4:$G$369,'Daily Records'!$A$4:$A$369,"&gt;="&amp;B7,'Daily Records'!$A$4:$A$369,"&lt;="&amp;C7))</f>
        <v/>
      </c>
      <c r="H7" s="30" t="str">
        <f>IF(B7="","",G7/Settings!$B$8)</f>
        <v/>
      </c>
      <c r="I7" s="37" t="str">
        <f>IF(B7="","",H7*Settings!$B$11)</f>
        <v/>
      </c>
      <c r="J7" s="6" t="str">
        <f t="shared" ref="J7:J18" si="3">IF(B7="","",IF(F7=0,0,H7/F7))</f>
        <v/>
      </c>
      <c r="K7" s="5" t="str">
        <f t="shared" ref="K7:K18" si="4">IF(B7="","",IF(D7=0,"Not Recorded",IF(F7=0,"Weekly Resets Only","Includes Extra Resets")))</f>
        <v/>
      </c>
    </row>
    <row r="8" spans="1:11" ht="14.25" customHeight="1">
      <c r="A8" s="5" t="str">
        <f t="shared" si="0"/>
        <v/>
      </c>
      <c r="B8" s="28" t="str">
        <f t="shared" ref="B8:B18" si="5">IF(B7="","",EDATE(B7,1))</f>
        <v/>
      </c>
      <c r="C8" s="28" t="str">
        <f t="shared" si="1"/>
        <v/>
      </c>
      <c r="D8" s="29" t="str">
        <f t="shared" si="2"/>
        <v/>
      </c>
      <c r="E8" s="29" t="str">
        <f>IF(B8="","",COUNTIFS('Daily Records'!$A$4:$A$369,"&gt;="&amp;B8,'Daily Records'!$A$4:$A$369,"&lt;="&amp;C8,'Daily Records'!$E$4:$E$369,"W"))</f>
        <v/>
      </c>
      <c r="F8" s="29" t="str">
        <f>IF(B8="","",COUNTIFS('Daily Records'!$A$4:$A$369,"&gt;="&amp;B8,'Daily Records'!$A$4:$A$369,"&lt;="&amp;C8,'Daily Records'!$D$4:$D$369,"&lt;&gt;"))</f>
        <v/>
      </c>
      <c r="G8" s="29" t="str">
        <f>IF(B8="","",SUMIFS('Daily Records'!$G$4:$G$369,'Daily Records'!$A$4:$A$369,"&gt;="&amp;B8,'Daily Records'!$A$4:$A$369,"&lt;="&amp;C8))</f>
        <v/>
      </c>
      <c r="H8" s="30" t="str">
        <f>IF(B8="","",G8/Settings!$B$8)</f>
        <v/>
      </c>
      <c r="I8" s="37" t="str">
        <f>IF(B8="","",H8*Settings!$B$11)</f>
        <v/>
      </c>
      <c r="J8" s="6" t="str">
        <f t="shared" si="3"/>
        <v/>
      </c>
      <c r="K8" s="5" t="str">
        <f t="shared" si="4"/>
        <v/>
      </c>
    </row>
    <row r="9" spans="1:11" ht="14.25" customHeight="1">
      <c r="A9" s="5" t="str">
        <f t="shared" si="0"/>
        <v/>
      </c>
      <c r="B9" s="28" t="str">
        <f t="shared" si="5"/>
        <v/>
      </c>
      <c r="C9" s="28" t="str">
        <f t="shared" si="1"/>
        <v/>
      </c>
      <c r="D9" s="29" t="str">
        <f t="shared" si="2"/>
        <v/>
      </c>
      <c r="E9" s="29" t="str">
        <f>IF(B9="","",COUNTIFS('Daily Records'!$A$4:$A$369,"&gt;="&amp;B9,'Daily Records'!$A$4:$A$369,"&lt;="&amp;C9,'Daily Records'!$E$4:$E$369,"W"))</f>
        <v/>
      </c>
      <c r="F9" s="29" t="str">
        <f>IF(B9="","",COUNTIFS('Daily Records'!$A$4:$A$369,"&gt;="&amp;B9,'Daily Records'!$A$4:$A$369,"&lt;="&amp;C9,'Daily Records'!$D$4:$D$369,"&lt;&gt;"))</f>
        <v/>
      </c>
      <c r="G9" s="29" t="str">
        <f>IF(B9="","",SUMIFS('Daily Records'!$G$4:$G$369,'Daily Records'!$A$4:$A$369,"&gt;="&amp;B9,'Daily Records'!$A$4:$A$369,"&lt;="&amp;C9))</f>
        <v/>
      </c>
      <c r="H9" s="30" t="str">
        <f>IF(B9="","",G9/Settings!$B$8)</f>
        <v/>
      </c>
      <c r="I9" s="37" t="str">
        <f>IF(B9="","",H9*Settings!$B$11)</f>
        <v/>
      </c>
      <c r="J9" s="6" t="str">
        <f t="shared" si="3"/>
        <v/>
      </c>
      <c r="K9" s="5" t="str">
        <f t="shared" si="4"/>
        <v/>
      </c>
    </row>
    <row r="10" spans="1:11" ht="14.25" customHeight="1">
      <c r="A10" s="5" t="str">
        <f t="shared" si="0"/>
        <v/>
      </c>
      <c r="B10" s="28" t="str">
        <f t="shared" si="5"/>
        <v/>
      </c>
      <c r="C10" s="28" t="str">
        <f t="shared" si="1"/>
        <v/>
      </c>
      <c r="D10" s="29" t="str">
        <f t="shared" si="2"/>
        <v/>
      </c>
      <c r="E10" s="29" t="str">
        <f>IF(B10="","",COUNTIFS('Daily Records'!$A$4:$A$369,"&gt;="&amp;B10,'Daily Records'!$A$4:$A$369,"&lt;="&amp;C10,'Daily Records'!$E$4:$E$369,"W"))</f>
        <v/>
      </c>
      <c r="F10" s="29" t="str">
        <f>IF(B10="","",COUNTIFS('Daily Records'!$A$4:$A$369,"&gt;="&amp;B10,'Daily Records'!$A$4:$A$369,"&lt;="&amp;C10,'Daily Records'!$D$4:$D$369,"&lt;&gt;"))</f>
        <v/>
      </c>
      <c r="G10" s="29" t="str">
        <f>IF(B10="","",SUMIFS('Daily Records'!$G$4:$G$369,'Daily Records'!$A$4:$A$369,"&gt;="&amp;B10,'Daily Records'!$A$4:$A$369,"&lt;="&amp;C10))</f>
        <v/>
      </c>
      <c r="H10" s="30" t="str">
        <f>IF(B10="","",G10/Settings!$B$8)</f>
        <v/>
      </c>
      <c r="I10" s="37" t="str">
        <f>IF(B10="","",H10*Settings!$B$11)</f>
        <v/>
      </c>
      <c r="J10" s="6" t="str">
        <f t="shared" si="3"/>
        <v/>
      </c>
      <c r="K10" s="5" t="str">
        <f t="shared" si="4"/>
        <v/>
      </c>
    </row>
    <row r="11" spans="1:11" ht="14.25" customHeight="1">
      <c r="A11" s="5" t="str">
        <f t="shared" si="0"/>
        <v/>
      </c>
      <c r="B11" s="28" t="str">
        <f t="shared" si="5"/>
        <v/>
      </c>
      <c r="C11" s="28" t="str">
        <f t="shared" si="1"/>
        <v/>
      </c>
      <c r="D11" s="29" t="str">
        <f t="shared" si="2"/>
        <v/>
      </c>
      <c r="E11" s="29" t="str">
        <f>IF(B11="","",COUNTIFS('Daily Records'!$A$4:$A$369,"&gt;="&amp;B11,'Daily Records'!$A$4:$A$369,"&lt;="&amp;C11,'Daily Records'!$E$4:$E$369,"W"))</f>
        <v/>
      </c>
      <c r="F11" s="29" t="str">
        <f>IF(B11="","",COUNTIFS('Daily Records'!$A$4:$A$369,"&gt;="&amp;B11,'Daily Records'!$A$4:$A$369,"&lt;="&amp;C11,'Daily Records'!$D$4:$D$369,"&lt;&gt;"))</f>
        <v/>
      </c>
      <c r="G11" s="29" t="str">
        <f>IF(B11="","",SUMIFS('Daily Records'!$G$4:$G$369,'Daily Records'!$A$4:$A$369,"&gt;="&amp;B11,'Daily Records'!$A$4:$A$369,"&lt;="&amp;C11))</f>
        <v/>
      </c>
      <c r="H11" s="30" t="str">
        <f>IF(B11="","",G11/Settings!$B$8)</f>
        <v/>
      </c>
      <c r="I11" s="37" t="str">
        <f>IF(B11="","",H11*Settings!$B$11)</f>
        <v/>
      </c>
      <c r="J11" s="6" t="str">
        <f t="shared" si="3"/>
        <v/>
      </c>
      <c r="K11" s="5" t="str">
        <f t="shared" si="4"/>
        <v/>
      </c>
    </row>
    <row r="12" spans="1:11" ht="14.25" customHeight="1">
      <c r="A12" s="5" t="str">
        <f t="shared" si="0"/>
        <v/>
      </c>
      <c r="B12" s="28" t="str">
        <f t="shared" si="5"/>
        <v/>
      </c>
      <c r="C12" s="28" t="str">
        <f t="shared" si="1"/>
        <v/>
      </c>
      <c r="D12" s="29" t="str">
        <f t="shared" si="2"/>
        <v/>
      </c>
      <c r="E12" s="29" t="str">
        <f>IF(B12="","",COUNTIFS('Daily Records'!$A$4:$A$369,"&gt;="&amp;B12,'Daily Records'!$A$4:$A$369,"&lt;="&amp;C12,'Daily Records'!$E$4:$E$369,"W"))</f>
        <v/>
      </c>
      <c r="F12" s="29" t="str">
        <f>IF(B12="","",COUNTIFS('Daily Records'!$A$4:$A$369,"&gt;="&amp;B12,'Daily Records'!$A$4:$A$369,"&lt;="&amp;C12,'Daily Records'!$D$4:$D$369,"&lt;&gt;"))</f>
        <v/>
      </c>
      <c r="G12" s="29" t="str">
        <f>IF(B12="","",SUMIFS('Daily Records'!$G$4:$G$369,'Daily Records'!$A$4:$A$369,"&gt;="&amp;B12,'Daily Records'!$A$4:$A$369,"&lt;="&amp;C12))</f>
        <v/>
      </c>
      <c r="H12" s="30" t="str">
        <f>IF(B12="","",G12/Settings!$B$8)</f>
        <v/>
      </c>
      <c r="I12" s="37" t="str">
        <f>IF(B12="","",H12*Settings!$B$11)</f>
        <v/>
      </c>
      <c r="J12" s="6" t="str">
        <f t="shared" si="3"/>
        <v/>
      </c>
      <c r="K12" s="5" t="str">
        <f t="shared" si="4"/>
        <v/>
      </c>
    </row>
    <row r="13" spans="1:11" ht="14.25" customHeight="1">
      <c r="A13" s="5" t="str">
        <f t="shared" si="0"/>
        <v/>
      </c>
      <c r="B13" s="28" t="str">
        <f t="shared" si="5"/>
        <v/>
      </c>
      <c r="C13" s="28" t="str">
        <f t="shared" si="1"/>
        <v/>
      </c>
      <c r="D13" s="29" t="str">
        <f t="shared" si="2"/>
        <v/>
      </c>
      <c r="E13" s="29" t="str">
        <f>IF(B13="","",COUNTIFS('Daily Records'!$A$4:$A$369,"&gt;="&amp;B13,'Daily Records'!$A$4:$A$369,"&lt;="&amp;C13,'Daily Records'!$E$4:$E$369,"W"))</f>
        <v/>
      </c>
      <c r="F13" s="29" t="str">
        <f>IF(B13="","",COUNTIFS('Daily Records'!$A$4:$A$369,"&gt;="&amp;B13,'Daily Records'!$A$4:$A$369,"&lt;="&amp;C13,'Daily Records'!$D$4:$D$369,"&lt;&gt;"))</f>
        <v/>
      </c>
      <c r="G13" s="29" t="str">
        <f>IF(B13="","",SUMIFS('Daily Records'!$G$4:$G$369,'Daily Records'!$A$4:$A$369,"&gt;="&amp;B13,'Daily Records'!$A$4:$A$369,"&lt;="&amp;C13))</f>
        <v/>
      </c>
      <c r="H13" s="30" t="str">
        <f>IF(B13="","",G13/Settings!$B$8)</f>
        <v/>
      </c>
      <c r="I13" s="37" t="str">
        <f>IF(B13="","",H13*Settings!$B$11)</f>
        <v/>
      </c>
      <c r="J13" s="6" t="str">
        <f t="shared" si="3"/>
        <v/>
      </c>
      <c r="K13" s="5" t="str">
        <f t="shared" si="4"/>
        <v/>
      </c>
    </row>
    <row r="14" spans="1:11" ht="14.25" customHeight="1">
      <c r="A14" s="5" t="str">
        <f t="shared" si="0"/>
        <v/>
      </c>
      <c r="B14" s="28" t="str">
        <f t="shared" si="5"/>
        <v/>
      </c>
      <c r="C14" s="28" t="str">
        <f t="shared" si="1"/>
        <v/>
      </c>
      <c r="D14" s="29" t="str">
        <f t="shared" si="2"/>
        <v/>
      </c>
      <c r="E14" s="29" t="str">
        <f>IF(B14="","",COUNTIFS('Daily Records'!$A$4:$A$369,"&gt;="&amp;B14,'Daily Records'!$A$4:$A$369,"&lt;="&amp;C14,'Daily Records'!$E$4:$E$369,"W"))</f>
        <v/>
      </c>
      <c r="F14" s="29" t="str">
        <f>IF(B14="","",COUNTIFS('Daily Records'!$A$4:$A$369,"&gt;="&amp;B14,'Daily Records'!$A$4:$A$369,"&lt;="&amp;C14,'Daily Records'!$D$4:$D$369,"&lt;&gt;"))</f>
        <v/>
      </c>
      <c r="G14" s="29" t="str">
        <f>IF(B14="","",SUMIFS('Daily Records'!$G$4:$G$369,'Daily Records'!$A$4:$A$369,"&gt;="&amp;B14,'Daily Records'!$A$4:$A$369,"&lt;="&amp;C14))</f>
        <v/>
      </c>
      <c r="H14" s="30" t="str">
        <f>IF(B14="","",G14/Settings!$B$8)</f>
        <v/>
      </c>
      <c r="I14" s="37" t="str">
        <f>IF(B14="","",H14*Settings!$B$11)</f>
        <v/>
      </c>
      <c r="J14" s="6" t="str">
        <f t="shared" si="3"/>
        <v/>
      </c>
      <c r="K14" s="5" t="str">
        <f t="shared" si="4"/>
        <v/>
      </c>
    </row>
    <row r="15" spans="1:11" ht="14.25" customHeight="1">
      <c r="A15" s="5" t="str">
        <f t="shared" si="0"/>
        <v/>
      </c>
      <c r="B15" s="28" t="str">
        <f t="shared" si="5"/>
        <v/>
      </c>
      <c r="C15" s="28" t="str">
        <f t="shared" si="1"/>
        <v/>
      </c>
      <c r="D15" s="29" t="str">
        <f t="shared" si="2"/>
        <v/>
      </c>
      <c r="E15" s="29" t="str">
        <f>IF(B15="","",COUNTIFS('Daily Records'!$A$4:$A$369,"&gt;="&amp;B15,'Daily Records'!$A$4:$A$369,"&lt;="&amp;C15,'Daily Records'!$E$4:$E$369,"W"))</f>
        <v/>
      </c>
      <c r="F15" s="29" t="str">
        <f>IF(B15="","",COUNTIFS('Daily Records'!$A$4:$A$369,"&gt;="&amp;B15,'Daily Records'!$A$4:$A$369,"&lt;="&amp;C15,'Daily Records'!$D$4:$D$369,"&lt;&gt;"))</f>
        <v/>
      </c>
      <c r="G15" s="29" t="str">
        <f>IF(B15="","",SUMIFS('Daily Records'!$G$4:$G$369,'Daily Records'!$A$4:$A$369,"&gt;="&amp;B15,'Daily Records'!$A$4:$A$369,"&lt;="&amp;C15))</f>
        <v/>
      </c>
      <c r="H15" s="30" t="str">
        <f>IF(B15="","",G15/Settings!$B$8)</f>
        <v/>
      </c>
      <c r="I15" s="37" t="str">
        <f>IF(B15="","",H15*Settings!$B$11)</f>
        <v/>
      </c>
      <c r="J15" s="6" t="str">
        <f t="shared" si="3"/>
        <v/>
      </c>
      <c r="K15" s="5" t="str">
        <f t="shared" si="4"/>
        <v/>
      </c>
    </row>
    <row r="16" spans="1:11" ht="14.25" customHeight="1">
      <c r="A16" s="5" t="str">
        <f t="shared" si="0"/>
        <v/>
      </c>
      <c r="B16" s="28" t="str">
        <f t="shared" si="5"/>
        <v/>
      </c>
      <c r="C16" s="28" t="str">
        <f t="shared" si="1"/>
        <v/>
      </c>
      <c r="D16" s="29" t="str">
        <f t="shared" si="2"/>
        <v/>
      </c>
      <c r="E16" s="29" t="str">
        <f>IF(B16="","",COUNTIFS('Daily Records'!$A$4:$A$369,"&gt;="&amp;B16,'Daily Records'!$A$4:$A$369,"&lt;="&amp;C16,'Daily Records'!$E$4:$E$369,"W"))</f>
        <v/>
      </c>
      <c r="F16" s="29" t="str">
        <f>IF(B16="","",COUNTIFS('Daily Records'!$A$4:$A$369,"&gt;="&amp;B16,'Daily Records'!$A$4:$A$369,"&lt;="&amp;C16,'Daily Records'!$D$4:$D$369,"&lt;&gt;"))</f>
        <v/>
      </c>
      <c r="G16" s="29" t="str">
        <f>IF(B16="","",SUMIFS('Daily Records'!$G$4:$G$369,'Daily Records'!$A$4:$A$369,"&gt;="&amp;B16,'Daily Records'!$A$4:$A$369,"&lt;="&amp;C16))</f>
        <v/>
      </c>
      <c r="H16" s="30" t="str">
        <f>IF(B16="","",G16/Settings!$B$8)</f>
        <v/>
      </c>
      <c r="I16" s="37" t="str">
        <f>IF(B16="","",H16*Settings!$B$11)</f>
        <v/>
      </c>
      <c r="J16" s="6" t="str">
        <f t="shared" si="3"/>
        <v/>
      </c>
      <c r="K16" s="5" t="str">
        <f t="shared" si="4"/>
        <v/>
      </c>
    </row>
    <row r="17" spans="1:11" ht="14.25" customHeight="1">
      <c r="A17" s="5" t="str">
        <f t="shared" si="0"/>
        <v/>
      </c>
      <c r="B17" s="28" t="str">
        <f t="shared" si="5"/>
        <v/>
      </c>
      <c r="C17" s="28" t="str">
        <f t="shared" si="1"/>
        <v/>
      </c>
      <c r="D17" s="29" t="str">
        <f t="shared" si="2"/>
        <v/>
      </c>
      <c r="E17" s="29" t="str">
        <f>IF(B17="","",COUNTIFS('Daily Records'!$A$4:$A$369,"&gt;="&amp;B17,'Daily Records'!$A$4:$A$369,"&lt;="&amp;C17,'Daily Records'!$E$4:$E$369,"W"))</f>
        <v/>
      </c>
      <c r="F17" s="29" t="str">
        <f>IF(B17="","",COUNTIFS('Daily Records'!$A$4:$A$369,"&gt;="&amp;B17,'Daily Records'!$A$4:$A$369,"&lt;="&amp;C17,'Daily Records'!$D$4:$D$369,"&lt;&gt;"))</f>
        <v/>
      </c>
      <c r="G17" s="29" t="str">
        <f>IF(B17="","",SUMIFS('Daily Records'!$G$4:$G$369,'Daily Records'!$A$4:$A$369,"&gt;="&amp;B17,'Daily Records'!$A$4:$A$369,"&lt;="&amp;C17))</f>
        <v/>
      </c>
      <c r="H17" s="30" t="str">
        <f>IF(B17="","",G17/Settings!$B$8)</f>
        <v/>
      </c>
      <c r="I17" s="37" t="str">
        <f>IF(B17="","",H17*Settings!$B$11)</f>
        <v/>
      </c>
      <c r="J17" s="6" t="str">
        <f t="shared" si="3"/>
        <v/>
      </c>
      <c r="K17" s="5" t="str">
        <f t="shared" si="4"/>
        <v/>
      </c>
    </row>
    <row r="18" spans="1:11" ht="14.25" customHeight="1">
      <c r="A18" s="5" t="str">
        <f t="shared" si="0"/>
        <v/>
      </c>
      <c r="B18" s="28" t="str">
        <f t="shared" si="5"/>
        <v/>
      </c>
      <c r="C18" s="28" t="str">
        <f t="shared" si="1"/>
        <v/>
      </c>
      <c r="D18" s="29" t="str">
        <f t="shared" si="2"/>
        <v/>
      </c>
      <c r="E18" s="29" t="str">
        <f>IF(B18="","",COUNTIFS('Daily Records'!$A$4:$A$369,"&gt;="&amp;B18,'Daily Records'!$A$4:$A$369,"&lt;="&amp;C18,'Daily Records'!$E$4:$E$369,"W"))</f>
        <v/>
      </c>
      <c r="F18" s="29" t="str">
        <f>IF(B18="","",COUNTIFS('Daily Records'!$A$4:$A$369,"&gt;="&amp;B18,'Daily Records'!$A$4:$A$369,"&lt;="&amp;C18,'Daily Records'!$D$4:$D$369,"&lt;&gt;"))</f>
        <v/>
      </c>
      <c r="G18" s="29" t="str">
        <f>IF(B18="","",SUMIFS('Daily Records'!$G$4:$G$369,'Daily Records'!$A$4:$A$369,"&gt;="&amp;B18,'Daily Records'!$A$4:$A$369,"&lt;="&amp;C18))</f>
        <v/>
      </c>
      <c r="H18" s="30" t="str">
        <f>IF(B18="","",G18/Settings!$B$8)</f>
        <v/>
      </c>
      <c r="I18" s="37" t="str">
        <f>IF(B18="","",H18*Settings!$B$11)</f>
        <v/>
      </c>
      <c r="J18" s="6" t="str">
        <f t="shared" si="3"/>
        <v/>
      </c>
      <c r="K18" s="5" t="str">
        <f t="shared" si="4"/>
        <v/>
      </c>
    </row>
    <row r="21" spans="1:11" ht="14.25" customHeight="1">
      <c r="A21" s="59" t="s">
        <v>72</v>
      </c>
      <c r="B21" s="42"/>
      <c r="C21" s="42"/>
      <c r="D21" s="42"/>
      <c r="E21" s="29"/>
      <c r="F21" s="18"/>
      <c r="G21" s="18"/>
      <c r="H21" s="18"/>
      <c r="I21" s="18"/>
      <c r="J21" s="18"/>
    </row>
    <row r="22" spans="1:11" ht="14.25" customHeight="1">
      <c r="A22" s="19" t="s">
        <v>73</v>
      </c>
      <c r="B22" s="58" t="s">
        <v>74</v>
      </c>
      <c r="C22" s="42"/>
      <c r="D22" s="18"/>
      <c r="E22" s="18"/>
      <c r="F22" s="18"/>
      <c r="G22" s="18"/>
      <c r="H22" s="18"/>
      <c r="I22" s="18"/>
      <c r="J22" s="18"/>
    </row>
    <row r="23" spans="1:11" ht="14.25" customHeight="1">
      <c r="A23" s="19" t="s">
        <v>75</v>
      </c>
      <c r="B23" s="58" t="s">
        <v>76</v>
      </c>
      <c r="C23" s="42"/>
      <c r="D23" s="42"/>
      <c r="E23" s="42"/>
      <c r="F23" s="18"/>
      <c r="G23" s="18"/>
      <c r="H23" s="18"/>
      <c r="I23" s="18"/>
      <c r="J23" s="18"/>
    </row>
    <row r="24" spans="1:11" ht="14.25" customHeight="1">
      <c r="A24" s="19" t="s">
        <v>77</v>
      </c>
      <c r="B24" s="58" t="s">
        <v>78</v>
      </c>
      <c r="C24" s="42"/>
      <c r="D24" s="18"/>
      <c r="E24" s="18"/>
      <c r="F24" s="18"/>
      <c r="G24" s="18"/>
      <c r="H24" s="18"/>
      <c r="I24" s="18"/>
      <c r="J24" s="18"/>
    </row>
    <row r="25" spans="1:11" ht="14.25" customHeight="1">
      <c r="A25" s="19"/>
      <c r="B25" s="2"/>
      <c r="C25" s="2"/>
      <c r="D25" s="2"/>
      <c r="E25" s="2"/>
      <c r="F25" s="2"/>
      <c r="G25" s="2"/>
      <c r="H25" s="2"/>
      <c r="I25" s="2"/>
      <c r="J25" s="2"/>
    </row>
    <row r="26" spans="1:11" ht="14.25" customHeight="1">
      <c r="A26" s="19" t="s">
        <v>79</v>
      </c>
      <c r="B26" s="60" t="s">
        <v>80</v>
      </c>
      <c r="C26" s="42"/>
      <c r="D26" s="42"/>
      <c r="E26" s="20"/>
      <c r="F26" s="4"/>
      <c r="G26" s="4"/>
      <c r="H26" s="4"/>
      <c r="I26" s="4"/>
      <c r="J26" s="4"/>
    </row>
    <row r="27" spans="1:11" ht="14.25" customHeight="1">
      <c r="B27" s="57" t="s">
        <v>81</v>
      </c>
      <c r="C27" s="42"/>
      <c r="D27" s="42"/>
    </row>
    <row r="28" spans="1:11" ht="14.25" customHeight="1">
      <c r="B28" s="35"/>
      <c r="C28" s="35"/>
      <c r="D28" s="35"/>
    </row>
  </sheetData>
  <mergeCells count="7">
    <mergeCell ref="B27:D27"/>
    <mergeCell ref="B22:C22"/>
    <mergeCell ref="A1:K1"/>
    <mergeCell ref="B23:E23"/>
    <mergeCell ref="B24:C24"/>
    <mergeCell ref="A21:D21"/>
    <mergeCell ref="B26:D26"/>
  </mergeCells>
  <phoneticPr fontId="7" type="noConversion"/>
  <conditionalFormatting sqref="E21">
    <cfRule type="dataBar" priority="1">
      <dataBar>
        <cfvo type="min"/>
        <cfvo type="max"/>
        <color rgb="FFA02B93"/>
      </dataBar>
    </cfRule>
  </conditionalFormatting>
  <conditionalFormatting sqref="F7:F18">
    <cfRule type="dataBar" priority="2">
      <dataBar>
        <cfvo type="min"/>
        <cfvo type="max"/>
        <color rgb="FFA02B93"/>
      </dataBar>
    </cfRule>
  </conditionalFormatting>
  <conditionalFormatting sqref="H7:H18">
    <cfRule type="colorScale" priority="3">
      <colorScale>
        <cfvo type="min"/>
        <cfvo type="percentile" val="50"/>
        <cfvo type="max"/>
        <color rgb="FFF4CCCC"/>
        <color rgb="FFFFF2CC"/>
        <color rgb="FFD9EAD3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Settings</vt:lpstr>
      <vt:lpstr>Daily Records</vt:lpstr>
      <vt:lpstr>Monthly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2026-09-09T02:11:21Z</dcterms:modified>
</cp:coreProperties>
</file>